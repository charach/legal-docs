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구례2026-2\"/>
    </mc:Choice>
  </mc:AlternateContent>
  <xr:revisionPtr revIDLastSave="0" documentId="13_ncr:1_{817BD30A-2085-4CAF-8BCA-D3D4AC8869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OREAN" sheetId="27" r:id="rId1"/>
  </sheets>
  <definedNames>
    <definedName name="_xlnm.Print_Area" localSheetId="0">KOREAN!$A$1:$K$241</definedName>
    <definedName name="_xlnm.Print_Titles" localSheetId="0">KOREAN!$6:$6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3" i="27" l="1"/>
  <c r="F28" i="27" l="1"/>
  <c r="F118" i="27"/>
  <c r="F111" i="27"/>
  <c r="F108" i="27"/>
  <c r="F106" i="27"/>
  <c r="F102" i="27"/>
  <c r="F87" i="27"/>
  <c r="F95" i="27"/>
  <c r="F91" i="27"/>
  <c r="F75" i="27"/>
  <c r="F78" i="27"/>
  <c r="F237" i="27" l="1"/>
  <c r="F211" i="27"/>
  <c r="F184" i="27"/>
  <c r="F157" i="27"/>
  <c r="F131" i="27"/>
  <c r="F130" i="27"/>
  <c r="F233" i="27"/>
  <c r="E233" i="27"/>
  <c r="F232" i="27"/>
  <c r="F231" i="27"/>
  <c r="F230" i="27"/>
  <c r="J230" i="27" s="1"/>
  <c r="F229" i="27"/>
  <c r="F228" i="27"/>
  <c r="F226" i="27"/>
  <c r="J226" i="27" s="1"/>
  <c r="F225" i="27"/>
  <c r="F224" i="27"/>
  <c r="F223" i="27"/>
  <c r="F222" i="27"/>
  <c r="F220" i="27"/>
  <c r="F219" i="27"/>
  <c r="J219" i="27" s="1"/>
  <c r="F218" i="27"/>
  <c r="F217" i="27"/>
  <c r="F215" i="27"/>
  <c r="J215" i="27" s="1"/>
  <c r="F214" i="27"/>
  <c r="F212" i="27"/>
  <c r="F210" i="27"/>
  <c r="J210" i="27" s="1"/>
  <c r="K210" i="27" s="1"/>
  <c r="F209" i="27"/>
  <c r="F206" i="27"/>
  <c r="E206" i="27"/>
  <c r="F205" i="27"/>
  <c r="F204" i="27"/>
  <c r="F203" i="27"/>
  <c r="J203" i="27" s="1"/>
  <c r="F202" i="27"/>
  <c r="F201" i="27"/>
  <c r="F199" i="27"/>
  <c r="J199" i="27" s="1"/>
  <c r="F198" i="27"/>
  <c r="F197" i="27"/>
  <c r="F196" i="27"/>
  <c r="F195" i="27"/>
  <c r="F193" i="27"/>
  <c r="F192" i="27"/>
  <c r="J192" i="27" s="1"/>
  <c r="F191" i="27"/>
  <c r="F190" i="27"/>
  <c r="F188" i="27"/>
  <c r="J188" i="27" s="1"/>
  <c r="F187" i="27"/>
  <c r="F185" i="27"/>
  <c r="F183" i="27"/>
  <c r="J183" i="27" s="1"/>
  <c r="K183" i="27" s="1"/>
  <c r="F182" i="27"/>
  <c r="F179" i="27"/>
  <c r="E179" i="27"/>
  <c r="F178" i="27"/>
  <c r="F177" i="27"/>
  <c r="F176" i="27"/>
  <c r="J176" i="27" s="1"/>
  <c r="F175" i="27"/>
  <c r="F174" i="27"/>
  <c r="F172" i="27"/>
  <c r="J172" i="27" s="1"/>
  <c r="F171" i="27"/>
  <c r="F170" i="27"/>
  <c r="F169" i="27"/>
  <c r="F168" i="27"/>
  <c r="F166" i="27"/>
  <c r="F165" i="27"/>
  <c r="J165" i="27" s="1"/>
  <c r="F164" i="27"/>
  <c r="F163" i="27"/>
  <c r="F161" i="27"/>
  <c r="J161" i="27" s="1"/>
  <c r="F160" i="27"/>
  <c r="F158" i="27"/>
  <c r="F156" i="27"/>
  <c r="J156" i="27" s="1"/>
  <c r="K156" i="27" s="1"/>
  <c r="F155" i="27"/>
  <c r="K226" i="27" l="1"/>
  <c r="K172" i="27"/>
  <c r="K230" i="27"/>
  <c r="K192" i="27"/>
  <c r="K199" i="27"/>
  <c r="K219" i="27"/>
  <c r="K215" i="27"/>
  <c r="K203" i="27"/>
  <c r="K188" i="27"/>
  <c r="K165" i="27"/>
  <c r="K176" i="27"/>
  <c r="K161" i="27"/>
  <c r="F241" i="27"/>
  <c r="J241" i="27" s="1"/>
  <c r="E241" i="27"/>
  <c r="F240" i="27"/>
  <c r="F238" i="27"/>
  <c r="F236" i="27"/>
  <c r="J236" i="27" s="1"/>
  <c r="K236" i="27" s="1"/>
  <c r="F235" i="27"/>
  <c r="F153" i="27"/>
  <c r="E153" i="27"/>
  <c r="F152" i="27"/>
  <c r="F151" i="27"/>
  <c r="F150" i="27"/>
  <c r="J150" i="27" s="1"/>
  <c r="F149" i="27"/>
  <c r="F148" i="27"/>
  <c r="F146" i="27"/>
  <c r="J146" i="27" s="1"/>
  <c r="F145" i="27"/>
  <c r="F144" i="27"/>
  <c r="F143" i="27"/>
  <c r="F142" i="27"/>
  <c r="F140" i="27"/>
  <c r="F139" i="27"/>
  <c r="J139" i="27" s="1"/>
  <c r="F138" i="27"/>
  <c r="F137" i="27"/>
  <c r="F135" i="27"/>
  <c r="J135" i="27" s="1"/>
  <c r="F134" i="27"/>
  <c r="F132" i="27"/>
  <c r="J130" i="27"/>
  <c r="K130" i="27" s="1"/>
  <c r="F129" i="27"/>
  <c r="F128" i="27"/>
  <c r="F120" i="27"/>
  <c r="E120" i="27"/>
  <c r="F119" i="27"/>
  <c r="F117" i="27"/>
  <c r="F116" i="27"/>
  <c r="F113" i="27"/>
  <c r="E113" i="27"/>
  <c r="F112" i="27"/>
  <c r="F110" i="27"/>
  <c r="F107" i="27"/>
  <c r="F105" i="27"/>
  <c r="F104" i="27"/>
  <c r="F101" i="27"/>
  <c r="F100" i="27"/>
  <c r="F98" i="27"/>
  <c r="E98" i="27"/>
  <c r="F97" i="27"/>
  <c r="F94" i="27"/>
  <c r="F92" i="27"/>
  <c r="F89" i="27"/>
  <c r="F88" i="27"/>
  <c r="F86" i="27"/>
  <c r="F85" i="27"/>
  <c r="F83" i="27"/>
  <c r="E83" i="27"/>
  <c r="F81" i="27"/>
  <c r="F79" i="27"/>
  <c r="F76" i="27"/>
  <c r="F74" i="27"/>
  <c r="F73" i="27"/>
  <c r="F72" i="27"/>
  <c r="F70" i="27"/>
  <c r="E70" i="27"/>
  <c r="F68" i="27"/>
  <c r="F67" i="27"/>
  <c r="F66" i="27"/>
  <c r="F65" i="27"/>
  <c r="K65" i="27" s="1"/>
  <c r="F62" i="27"/>
  <c r="F60" i="27"/>
  <c r="F59" i="27"/>
  <c r="F58" i="27"/>
  <c r="F57" i="27"/>
  <c r="F55" i="27"/>
  <c r="F54" i="27"/>
  <c r="F52" i="27"/>
  <c r="E52" i="27"/>
  <c r="F50" i="27"/>
  <c r="F49" i="27"/>
  <c r="F48" i="27"/>
  <c r="F47" i="27"/>
  <c r="K47" i="27" s="1"/>
  <c r="F45" i="27"/>
  <c r="F44" i="27"/>
  <c r="F42" i="27"/>
  <c r="F41" i="27"/>
  <c r="F40" i="27"/>
  <c r="F39" i="27"/>
  <c r="F38" i="27"/>
  <c r="F36" i="27"/>
  <c r="F34" i="27"/>
  <c r="E34" i="27"/>
  <c r="F33" i="27"/>
  <c r="F32" i="27"/>
  <c r="F31" i="27"/>
  <c r="F29" i="27"/>
  <c r="F27" i="27"/>
  <c r="F26" i="27"/>
  <c r="K26" i="27" s="1"/>
  <c r="F25" i="27"/>
  <c r="F24" i="27"/>
  <c r="F23" i="27"/>
  <c r="F22" i="27"/>
  <c r="F20" i="27"/>
  <c r="F19" i="27"/>
  <c r="F18" i="27"/>
  <c r="F17" i="27"/>
  <c r="F9" i="27"/>
  <c r="G9" i="27" s="1"/>
  <c r="G12" i="27" s="1"/>
  <c r="G118" i="27" s="1"/>
  <c r="F8" i="27"/>
  <c r="H7" i="27"/>
  <c r="G7" i="27"/>
  <c r="G111" i="27" l="1"/>
  <c r="G108" i="27"/>
  <c r="G102" i="27"/>
  <c r="G106" i="27"/>
  <c r="G95" i="27"/>
  <c r="G87" i="27"/>
  <c r="G91" i="27"/>
  <c r="K241" i="27"/>
  <c r="K85" i="27"/>
  <c r="K100" i="27"/>
  <c r="K116" i="27"/>
  <c r="K68" i="27"/>
  <c r="K135" i="27"/>
  <c r="K139" i="27"/>
  <c r="K50" i="27"/>
  <c r="K60" i="27"/>
  <c r="G8" i="27"/>
  <c r="H8" i="27"/>
  <c r="G119" i="27"/>
  <c r="G97" i="27"/>
  <c r="G101" i="27"/>
  <c r="G110" i="27"/>
  <c r="G100" i="27"/>
  <c r="G89" i="27"/>
  <c r="G105" i="27"/>
  <c r="G113" i="27"/>
  <c r="G104" i="27"/>
  <c r="G94" i="27"/>
  <c r="G85" i="27"/>
  <c r="G112" i="27"/>
  <c r="G17" i="27"/>
  <c r="G28" i="27" s="1"/>
  <c r="G117" i="27"/>
  <c r="G120" i="27"/>
  <c r="G123" i="27" s="1"/>
  <c r="G128" i="27" s="1"/>
  <c r="G107" i="27"/>
  <c r="G98" i="27"/>
  <c r="G88" i="27"/>
  <c r="G116" i="27"/>
  <c r="G86" i="27"/>
  <c r="K146" i="27"/>
  <c r="K150" i="27"/>
  <c r="H9" i="27"/>
  <c r="H12" i="27" s="1"/>
  <c r="H118" i="27" s="1"/>
  <c r="K42" i="27"/>
  <c r="H111" i="27" l="1"/>
  <c r="H108" i="27"/>
  <c r="H102" i="27"/>
  <c r="H106" i="27"/>
  <c r="H95" i="27"/>
  <c r="H87" i="27"/>
  <c r="H91" i="27"/>
  <c r="G75" i="27"/>
  <c r="G78" i="27"/>
  <c r="G211" i="27"/>
  <c r="G237" i="27"/>
  <c r="G184" i="27"/>
  <c r="G157" i="27"/>
  <c r="G131" i="27"/>
  <c r="G231" i="27"/>
  <c r="G229" i="27"/>
  <c r="G226" i="27"/>
  <c r="G228" i="27"/>
  <c r="G225" i="27"/>
  <c r="G222" i="27"/>
  <c r="G219" i="27"/>
  <c r="G212" i="27"/>
  <c r="G209" i="27"/>
  <c r="G220" i="27"/>
  <c r="G215" i="27"/>
  <c r="G233" i="27"/>
  <c r="G223" i="27"/>
  <c r="G232" i="27"/>
  <c r="G218" i="27"/>
  <c r="G217" i="27"/>
  <c r="G214" i="27"/>
  <c r="G210" i="27"/>
  <c r="G230" i="27"/>
  <c r="G224" i="27"/>
  <c r="G204" i="27"/>
  <c r="G202" i="27"/>
  <c r="G199" i="27"/>
  <c r="G190" i="27"/>
  <c r="G187" i="27"/>
  <c r="G183" i="27"/>
  <c r="G201" i="27"/>
  <c r="G198" i="27"/>
  <c r="G195" i="27"/>
  <c r="G192" i="27"/>
  <c r="G205" i="27"/>
  <c r="G203" i="27"/>
  <c r="G185" i="27"/>
  <c r="G182" i="27"/>
  <c r="G197" i="27"/>
  <c r="G193" i="27"/>
  <c r="G191" i="27"/>
  <c r="G188" i="27"/>
  <c r="G206" i="27"/>
  <c r="G196" i="27"/>
  <c r="G177" i="27"/>
  <c r="G175" i="27"/>
  <c r="G172" i="27"/>
  <c r="G171" i="27"/>
  <c r="G166" i="27"/>
  <c r="G161" i="27"/>
  <c r="G179" i="27"/>
  <c r="G169" i="27"/>
  <c r="G174" i="27"/>
  <c r="G176" i="27"/>
  <c r="G158" i="27"/>
  <c r="G170" i="27"/>
  <c r="G163" i="27"/>
  <c r="G160" i="27"/>
  <c r="G156" i="27"/>
  <c r="G168" i="27"/>
  <c r="G165" i="27"/>
  <c r="G178" i="27"/>
  <c r="G155" i="27"/>
  <c r="G164" i="27"/>
  <c r="H110" i="27"/>
  <c r="H100" i="27"/>
  <c r="H89" i="27"/>
  <c r="H116" i="27"/>
  <c r="H113" i="27"/>
  <c r="H104" i="27"/>
  <c r="H17" i="27"/>
  <c r="H28" i="27" s="1"/>
  <c r="H105" i="27"/>
  <c r="H86" i="27"/>
  <c r="H117" i="27"/>
  <c r="H94" i="27"/>
  <c r="H85" i="27"/>
  <c r="H120" i="27"/>
  <c r="H123" i="27" s="1"/>
  <c r="H128" i="27" s="1"/>
  <c r="H98" i="27"/>
  <c r="H88" i="27"/>
  <c r="H119" i="27"/>
  <c r="H107" i="27"/>
  <c r="H112" i="27"/>
  <c r="H101" i="27"/>
  <c r="H97" i="27"/>
  <c r="G76" i="27"/>
  <c r="G59" i="27"/>
  <c r="G42" i="27"/>
  <c r="G19" i="27"/>
  <c r="G60" i="27"/>
  <c r="G92" i="27"/>
  <c r="G40" i="27"/>
  <c r="G26" i="27"/>
  <c r="G52" i="27"/>
  <c r="G72" i="27"/>
  <c r="G68" i="27"/>
  <c r="G62" i="27"/>
  <c r="G55" i="27"/>
  <c r="G45" i="27"/>
  <c r="G39" i="27"/>
  <c r="G32" i="27"/>
  <c r="G25" i="27"/>
  <c r="G67" i="27"/>
  <c r="G50" i="27"/>
  <c r="G44" i="27"/>
  <c r="G38" i="27"/>
  <c r="G24" i="27"/>
  <c r="G79" i="27"/>
  <c r="G81" i="27"/>
  <c r="G48" i="27"/>
  <c r="G34" i="27"/>
  <c r="G27" i="27"/>
  <c r="G22" i="27"/>
  <c r="G18" i="27"/>
  <c r="G83" i="27"/>
  <c r="G57" i="27"/>
  <c r="G47" i="27"/>
  <c r="G33" i="27"/>
  <c r="G66" i="27"/>
  <c r="G49" i="27"/>
  <c r="G74" i="27"/>
  <c r="G65" i="27"/>
  <c r="G58" i="27"/>
  <c r="G41" i="27"/>
  <c r="G70" i="27"/>
  <c r="G31" i="27"/>
  <c r="G20" i="27"/>
  <c r="G54" i="27"/>
  <c r="G73" i="27"/>
  <c r="G63" i="27"/>
  <c r="G23" i="27"/>
  <c r="G29" i="27"/>
  <c r="G36" i="27"/>
  <c r="G238" i="27"/>
  <c r="G235" i="27"/>
  <c r="G153" i="27"/>
  <c r="G143" i="27"/>
  <c r="G144" i="27"/>
  <c r="G241" i="27"/>
  <c r="G137" i="27"/>
  <c r="G134" i="27"/>
  <c r="G130" i="27"/>
  <c r="G240" i="27"/>
  <c r="G146" i="27"/>
  <c r="G148" i="27"/>
  <c r="G145" i="27"/>
  <c r="G139" i="27"/>
  <c r="G135" i="27"/>
  <c r="G142" i="27"/>
  <c r="G236" i="27"/>
  <c r="G140" i="27"/>
  <c r="G152" i="27"/>
  <c r="G150" i="27"/>
  <c r="G132" i="27"/>
  <c r="G129" i="27"/>
  <c r="G138" i="27"/>
  <c r="G151" i="27"/>
  <c r="G149" i="27"/>
  <c r="H75" i="27" l="1"/>
  <c r="H78" i="27"/>
  <c r="H211" i="27"/>
  <c r="H237" i="27"/>
  <c r="H184" i="27"/>
  <c r="H157" i="27"/>
  <c r="H131" i="27"/>
  <c r="H233" i="27"/>
  <c r="H223" i="27"/>
  <c r="H219" i="27"/>
  <c r="H212" i="27"/>
  <c r="H209" i="27"/>
  <c r="H224" i="27"/>
  <c r="H229" i="27"/>
  <c r="H226" i="27"/>
  <c r="H217" i="27"/>
  <c r="H214" i="27"/>
  <c r="H210" i="27"/>
  <c r="H222" i="27"/>
  <c r="H232" i="27"/>
  <c r="H215" i="27"/>
  <c r="H228" i="27"/>
  <c r="H225" i="27"/>
  <c r="H230" i="27"/>
  <c r="H220" i="27"/>
  <c r="H218" i="27"/>
  <c r="H231" i="27"/>
  <c r="H206" i="27"/>
  <c r="H196" i="27"/>
  <c r="H195" i="27"/>
  <c r="H192" i="27"/>
  <c r="H205" i="27"/>
  <c r="H203" i="27"/>
  <c r="H185" i="27"/>
  <c r="H182" i="27"/>
  <c r="H197" i="27"/>
  <c r="H193" i="27"/>
  <c r="H191" i="27"/>
  <c r="H188" i="27"/>
  <c r="H204" i="27"/>
  <c r="H202" i="27"/>
  <c r="H199" i="27"/>
  <c r="H190" i="27"/>
  <c r="H187" i="27"/>
  <c r="H183" i="27"/>
  <c r="H201" i="27"/>
  <c r="H198" i="27"/>
  <c r="H179" i="27"/>
  <c r="H169" i="27"/>
  <c r="H155" i="27"/>
  <c r="H166" i="27"/>
  <c r="H163" i="27"/>
  <c r="H160" i="27"/>
  <c r="H156" i="27"/>
  <c r="H165" i="27"/>
  <c r="H176" i="27"/>
  <c r="H158" i="27"/>
  <c r="H170" i="27"/>
  <c r="H161" i="27"/>
  <c r="H177" i="27"/>
  <c r="H175" i="27"/>
  <c r="H174" i="27"/>
  <c r="H171" i="27"/>
  <c r="H168" i="27"/>
  <c r="H178" i="27"/>
  <c r="H164" i="27"/>
  <c r="H172" i="27"/>
  <c r="H241" i="27"/>
  <c r="H137" i="27"/>
  <c r="H134" i="27"/>
  <c r="H130" i="27"/>
  <c r="H151" i="27"/>
  <c r="H148" i="27"/>
  <c r="H145" i="27"/>
  <c r="H146" i="27"/>
  <c r="H142" i="27"/>
  <c r="H139" i="27"/>
  <c r="H150" i="27"/>
  <c r="H132" i="27"/>
  <c r="H140" i="27"/>
  <c r="H143" i="27"/>
  <c r="H152" i="27"/>
  <c r="H129" i="27"/>
  <c r="H135" i="27"/>
  <c r="H149" i="27"/>
  <c r="H153" i="27"/>
  <c r="H240" i="27"/>
  <c r="H236" i="27"/>
  <c r="H144" i="27"/>
  <c r="H138" i="27"/>
  <c r="H238" i="27"/>
  <c r="H235" i="27"/>
  <c r="H72" i="27"/>
  <c r="H68" i="27"/>
  <c r="H62" i="27"/>
  <c r="H55" i="27"/>
  <c r="H45" i="27"/>
  <c r="H39" i="27"/>
  <c r="H32" i="27"/>
  <c r="H25" i="27"/>
  <c r="H92" i="27"/>
  <c r="H52" i="27"/>
  <c r="H81" i="27"/>
  <c r="H48" i="27"/>
  <c r="H34" i="27"/>
  <c r="H27" i="27"/>
  <c r="H22" i="27"/>
  <c r="H24" i="27"/>
  <c r="H60" i="27"/>
  <c r="H57" i="27"/>
  <c r="H47" i="27"/>
  <c r="H23" i="27"/>
  <c r="H74" i="27"/>
  <c r="H65" i="27"/>
  <c r="H58" i="27"/>
  <c r="H41" i="27"/>
  <c r="H18" i="27"/>
  <c r="H67" i="27"/>
  <c r="H54" i="27"/>
  <c r="H44" i="27"/>
  <c r="H38" i="27"/>
  <c r="H31" i="27"/>
  <c r="H79" i="27"/>
  <c r="H40" i="27"/>
  <c r="H26" i="27"/>
  <c r="H66" i="27"/>
  <c r="H76" i="27"/>
  <c r="H59" i="27"/>
  <c r="H70" i="27"/>
  <c r="H50" i="27"/>
  <c r="H20" i="27"/>
  <c r="H73" i="27"/>
  <c r="H63" i="27"/>
  <c r="H33" i="27"/>
  <c r="H29" i="27"/>
  <c r="H83" i="27"/>
  <c r="H49" i="27"/>
  <c r="H36" i="27"/>
  <c r="H42" i="27"/>
  <c r="H19" i="27"/>
</calcChain>
</file>

<file path=xl/sharedStrings.xml><?xml version="1.0" encoding="utf-8"?>
<sst xmlns="http://schemas.openxmlformats.org/spreadsheetml/2006/main" count="376" uniqueCount="184">
  <si>
    <t>Km / h</t>
    <phoneticPr fontId="1" type="noConversion"/>
  </si>
  <si>
    <t>T1</t>
    <phoneticPr fontId="1" type="noConversion"/>
  </si>
  <si>
    <t>T</t>
    <phoneticPr fontId="1" type="noConversion"/>
  </si>
  <si>
    <t>누적</t>
    <phoneticPr fontId="1" type="noConversion"/>
  </si>
  <si>
    <t>대평로터리</t>
  </si>
  <si>
    <t>PN</t>
    <phoneticPr fontId="1" type="noConversion"/>
  </si>
  <si>
    <t>T2</t>
    <phoneticPr fontId="1" type="noConversion"/>
  </si>
  <si>
    <t>T3</t>
    <phoneticPr fontId="1" type="noConversion"/>
  </si>
  <si>
    <t>T4</t>
    <phoneticPr fontId="1" type="noConversion"/>
  </si>
  <si>
    <t>T5</t>
    <phoneticPr fontId="1" type="noConversion"/>
  </si>
  <si>
    <t>T6</t>
    <phoneticPr fontId="1" type="noConversion"/>
  </si>
  <si>
    <t>SWIM</t>
    <phoneticPr fontId="1" type="noConversion"/>
  </si>
  <si>
    <t>SWIM 1LAP</t>
    <phoneticPr fontId="1" type="noConversion"/>
  </si>
  <si>
    <t>SWIM START</t>
    <phoneticPr fontId="1" type="noConversion"/>
  </si>
  <si>
    <t>SWIM FINISH</t>
    <phoneticPr fontId="1" type="noConversion"/>
  </si>
  <si>
    <t>BIKE</t>
    <phoneticPr fontId="1" type="noConversion"/>
  </si>
  <si>
    <t>RUN</t>
    <phoneticPr fontId="1" type="noConversion"/>
  </si>
  <si>
    <t>Tcnt</t>
  </si>
  <si>
    <t>Aid</t>
  </si>
  <si>
    <t>Place</t>
  </si>
  <si>
    <t>Aid 1</t>
    <phoneticPr fontId="1" type="noConversion"/>
  </si>
  <si>
    <t>Aid 2</t>
    <phoneticPr fontId="1" type="noConversion"/>
  </si>
  <si>
    <t>Aid 3</t>
    <phoneticPr fontId="1" type="noConversion"/>
  </si>
  <si>
    <t>Bike Start</t>
    <phoneticPr fontId="1" type="noConversion"/>
  </si>
  <si>
    <t>Aid 4</t>
    <phoneticPr fontId="1" type="noConversion"/>
  </si>
  <si>
    <t>Aid 5</t>
    <phoneticPr fontId="1" type="noConversion"/>
  </si>
  <si>
    <t>To Finish</t>
    <phoneticPr fontId="1" type="noConversion"/>
  </si>
  <si>
    <t>cut off2</t>
    <phoneticPr fontId="1" type="noConversion"/>
  </si>
  <si>
    <t>1ST cut off</t>
    <phoneticPr fontId="1" type="noConversion"/>
  </si>
  <si>
    <t>T1 exit</t>
    <phoneticPr fontId="1" type="noConversion"/>
  </si>
  <si>
    <t>T1 Transition minute</t>
    <phoneticPr fontId="1" type="noConversion"/>
  </si>
  <si>
    <t>T2 Transition minute</t>
    <phoneticPr fontId="1" type="noConversion"/>
  </si>
  <si>
    <t>T2 Exit</t>
    <phoneticPr fontId="1" type="noConversion"/>
  </si>
  <si>
    <t>T7</t>
    <phoneticPr fontId="1" type="noConversion"/>
  </si>
  <si>
    <t>2026 IRONMAN GURYE KOREA</t>
    <phoneticPr fontId="1" type="noConversion"/>
  </si>
  <si>
    <t>START</t>
    <phoneticPr fontId="1" type="noConversion"/>
  </si>
  <si>
    <t>PLACE</t>
    <phoneticPr fontId="1" type="noConversion"/>
  </si>
  <si>
    <t>TO T2</t>
    <phoneticPr fontId="1" type="noConversion"/>
  </si>
  <si>
    <t>선두</t>
  </si>
  <si>
    <t>후미</t>
  </si>
  <si>
    <t>거리</t>
  </si>
  <si>
    <t>평속</t>
  </si>
  <si>
    <t>사림마을 로터리</t>
  </si>
  <si>
    <t>KBS 로터리 턴</t>
  </si>
  <si>
    <t>꽃강 턴</t>
  </si>
  <si>
    <t>광의교 동단Q</t>
  </si>
  <si>
    <t>광의대교</t>
  </si>
  <si>
    <t>정장교 서단</t>
  </si>
  <si>
    <t>Dist Mark</t>
    <phoneticPr fontId="1" type="noConversion"/>
  </si>
  <si>
    <t>광의교차로</t>
  </si>
  <si>
    <t>냉천교차로 구례출구</t>
  </si>
  <si>
    <t>문척교차로 아래</t>
  </si>
  <si>
    <t>산이고운아파트 교차로</t>
  </si>
  <si>
    <t>구성교차로</t>
  </si>
  <si>
    <t>산동교차로</t>
  </si>
  <si>
    <t xml:space="preserve">산동교차로 </t>
  </si>
  <si>
    <t>백운관</t>
  </si>
  <si>
    <t>논곡턴</t>
  </si>
  <si>
    <t>수평(삼산)마을</t>
  </si>
  <si>
    <t>양동마을</t>
  </si>
  <si>
    <t>남도대교 턴</t>
  </si>
  <si>
    <t>백운천 휴게소</t>
  </si>
  <si>
    <t>무수내 쉼터</t>
  </si>
  <si>
    <t>오봉산 가든</t>
  </si>
  <si>
    <t>구례1교 턴</t>
  </si>
  <si>
    <t>문척교차로</t>
  </si>
  <si>
    <t>용방교차로 턴</t>
  </si>
  <si>
    <t>서시교앞턴</t>
  </si>
  <si>
    <t>런 시작점 Point</t>
  </si>
  <si>
    <t>파크골프앞</t>
  </si>
  <si>
    <t>2보급-광의대교아래</t>
  </si>
  <si>
    <t>광의교 서단</t>
  </si>
  <si>
    <t>갑동굴다리앞</t>
  </si>
  <si>
    <t>산수관 턴</t>
  </si>
  <si>
    <t>자연드림 입구</t>
  </si>
  <si>
    <t>죽정 버스정류장</t>
  </si>
  <si>
    <t>용냇골카페 교차로</t>
  </si>
  <si>
    <t>Aid 거리</t>
  </si>
  <si>
    <t>구간</t>
  </si>
  <si>
    <t xml:space="preserve">SK금정주유소 가격표간판 </t>
    <phoneticPr fontId="1" type="noConversion"/>
  </si>
  <si>
    <t>백운천 휴게소</t>
    <phoneticPr fontId="1" type="noConversion"/>
  </si>
  <si>
    <t>간문초100주년비석앞</t>
    <phoneticPr fontId="1" type="noConversion"/>
  </si>
  <si>
    <t xml:space="preserve">광양52 다압14 간판 50M전 </t>
    <phoneticPr fontId="1" type="noConversion"/>
  </si>
  <si>
    <t>해평마을비석100m전</t>
    <phoneticPr fontId="1" type="noConversion"/>
  </si>
  <si>
    <t>백운천휴게소 시작점</t>
    <phoneticPr fontId="1" type="noConversion"/>
  </si>
  <si>
    <t>월평교 중간</t>
    <phoneticPr fontId="1" type="noConversion"/>
  </si>
  <si>
    <t>냉천교차로500m앞 표지판 60미터 앞</t>
    <phoneticPr fontId="1" type="noConversion"/>
  </si>
  <si>
    <t>BIKE Aid1</t>
    <phoneticPr fontId="1" type="noConversion"/>
  </si>
  <si>
    <t>서시교50미터전 턴</t>
    <phoneticPr fontId="1" type="noConversion"/>
  </si>
  <si>
    <t>DM-BIKE-10</t>
    <phoneticPr fontId="1" type="noConversion"/>
  </si>
  <si>
    <t>DM-BIKE-20</t>
    <phoneticPr fontId="1" type="noConversion"/>
  </si>
  <si>
    <t>DM-BIKE-30</t>
    <phoneticPr fontId="1" type="noConversion"/>
  </si>
  <si>
    <t xml:space="preserve"> DM-BIKE-70 (논곡방향)</t>
    <phoneticPr fontId="1" type="noConversion"/>
  </si>
  <si>
    <t xml:space="preserve"> DM-BIKE-110 (용방방향)</t>
    <phoneticPr fontId="1" type="noConversion"/>
  </si>
  <si>
    <t xml:space="preserve"> DM-BIKE-120 (용방방향)</t>
    <phoneticPr fontId="1" type="noConversion"/>
  </si>
  <si>
    <t xml:space="preserve"> DM-BIKE-130 (구례1교방향)</t>
    <phoneticPr fontId="1" type="noConversion"/>
  </si>
  <si>
    <t xml:space="preserve"> DM-BIKE-140 (용방방향)</t>
    <phoneticPr fontId="1" type="noConversion"/>
  </si>
  <si>
    <t xml:space="preserve"> DM-BIKE-150 (구례1교방향)</t>
    <phoneticPr fontId="1" type="noConversion"/>
  </si>
  <si>
    <t xml:space="preserve"> DM-BIKE-160 (용방방향)</t>
    <phoneticPr fontId="1" type="noConversion"/>
  </si>
  <si>
    <t xml:space="preserve"> DM-BIKE-170 (구례1교방향)</t>
    <phoneticPr fontId="1" type="noConversion"/>
  </si>
  <si>
    <t>내려오는계단 앞 인도선 10M 앞</t>
    <phoneticPr fontId="1" type="noConversion"/>
  </si>
  <si>
    <t>광의교서단에서 200M 남으로, 보에서 70M 남으로</t>
    <phoneticPr fontId="1" type="noConversion"/>
  </si>
  <si>
    <t>발전소 지나자마자 방호통</t>
    <phoneticPr fontId="1" type="noConversion"/>
  </si>
  <si>
    <t>덕화농장 입구15미터 전</t>
    <phoneticPr fontId="1" type="noConversion"/>
  </si>
  <si>
    <t xml:space="preserve"> DM-BIKE-10 (자연드림방향)</t>
    <phoneticPr fontId="1" type="noConversion"/>
  </si>
  <si>
    <t xml:space="preserve"> DM-BIKE-20 (구례1교방향)</t>
    <phoneticPr fontId="1" type="noConversion"/>
  </si>
  <si>
    <t xml:space="preserve"> 냉천교차로 하동/화엄사출구앞</t>
    <phoneticPr fontId="1" type="noConversion"/>
  </si>
  <si>
    <t xml:space="preserve"> DM-BIKE-30 (논곡방향)</t>
    <phoneticPr fontId="1" type="noConversion"/>
  </si>
  <si>
    <t xml:space="preserve"> DM-BIKE-40 (남도대교방향)</t>
    <phoneticPr fontId="1" type="noConversion"/>
  </si>
  <si>
    <t xml:space="preserve"> DM-BIKE-50 (대평방향)</t>
    <phoneticPr fontId="1" type="noConversion"/>
  </si>
  <si>
    <t>용방교차로턴 에서1km, 화엄사/사성암간판</t>
    <phoneticPr fontId="1" type="noConversion"/>
  </si>
  <si>
    <t>DM-BIKE-40</t>
    <phoneticPr fontId="1" type="noConversion"/>
  </si>
  <si>
    <t>DM-BIKE-50</t>
    <phoneticPr fontId="1" type="noConversion"/>
  </si>
  <si>
    <t>DM-BIKE-60</t>
    <phoneticPr fontId="1" type="noConversion"/>
  </si>
  <si>
    <t xml:space="preserve"> DM-BIKE-70</t>
    <phoneticPr fontId="1" type="noConversion"/>
  </si>
  <si>
    <t xml:space="preserve"> DM-BIKE-80</t>
    <phoneticPr fontId="1" type="noConversion"/>
  </si>
  <si>
    <t xml:space="preserve"> DM-BIKE-90</t>
    <phoneticPr fontId="1" type="noConversion"/>
  </si>
  <si>
    <t xml:space="preserve"> DM-BIKE-100</t>
    <phoneticPr fontId="1" type="noConversion"/>
  </si>
  <si>
    <t xml:space="preserve"> DM-BIKE-60 (구성방향)</t>
    <phoneticPr fontId="1" type="noConversion"/>
  </si>
  <si>
    <t>옛 토금300m사인보드,수달생태로 434</t>
    <phoneticPr fontId="1" type="noConversion"/>
  </si>
  <si>
    <t xml:space="preserve"> DM-BIKE-90 (대평방향)</t>
    <phoneticPr fontId="1" type="noConversion"/>
  </si>
  <si>
    <t xml:space="preserve"> DM-BIKE-80 (남도대교방향)</t>
    <phoneticPr fontId="1" type="noConversion"/>
  </si>
  <si>
    <t xml:space="preserve"> DM-BIKE-100 (구성방향)</t>
    <phoneticPr fontId="1" type="noConversion"/>
  </si>
  <si>
    <t xml:space="preserve"> DM-BIKE-110</t>
    <phoneticPr fontId="1" type="noConversion"/>
  </si>
  <si>
    <t xml:space="preserve"> DM-BIKE-120</t>
    <phoneticPr fontId="1" type="noConversion"/>
  </si>
  <si>
    <t>용방턴 200미터 지나, 건너편 용방3거리 표지판</t>
    <phoneticPr fontId="1" type="noConversion"/>
  </si>
  <si>
    <t xml:space="preserve"> DM-BIKE-130</t>
    <phoneticPr fontId="1" type="noConversion"/>
  </si>
  <si>
    <t xml:space="preserve">한성산업간판 </t>
    <phoneticPr fontId="1" type="noConversion"/>
  </si>
  <si>
    <t xml:space="preserve"> DM-BIKE-140</t>
    <phoneticPr fontId="1" type="noConversion"/>
  </si>
  <si>
    <t xml:space="preserve"> DM-BIKE150</t>
    <phoneticPr fontId="1" type="noConversion"/>
  </si>
  <si>
    <t xml:space="preserve"> DM-BIKE160</t>
    <phoneticPr fontId="1" type="noConversion"/>
  </si>
  <si>
    <t xml:space="preserve"> DM-BIKE-170</t>
    <phoneticPr fontId="1" type="noConversion"/>
  </si>
  <si>
    <t xml:space="preserve"> DM-RUN6 (사림로타리방향)</t>
    <phoneticPr fontId="1" type="noConversion"/>
  </si>
  <si>
    <t xml:space="preserve"> DM-RUN 9.9</t>
    <phoneticPr fontId="1" type="noConversion"/>
  </si>
  <si>
    <t xml:space="preserve"> DM-RUN 2</t>
    <phoneticPr fontId="1" type="noConversion"/>
  </si>
  <si>
    <t xml:space="preserve"> DM-RUN 4</t>
    <phoneticPr fontId="1" type="noConversion"/>
  </si>
  <si>
    <t xml:space="preserve"> DM-RUN 6</t>
    <phoneticPr fontId="1" type="noConversion"/>
  </si>
  <si>
    <t xml:space="preserve"> DM-RUN 8</t>
    <phoneticPr fontId="1" type="noConversion"/>
  </si>
  <si>
    <t xml:space="preserve"> DM-RUN 2 (광의대교방향)</t>
    <phoneticPr fontId="1" type="noConversion"/>
  </si>
  <si>
    <t xml:space="preserve"> DM-RUN 4 (광의교방향)</t>
    <phoneticPr fontId="1" type="noConversion"/>
  </si>
  <si>
    <t xml:space="preserve"> DM-RUN 11.9 (광의대교방향)</t>
    <phoneticPr fontId="1" type="noConversion"/>
  </si>
  <si>
    <t xml:space="preserve"> DM-RUN 11.9</t>
    <phoneticPr fontId="1" type="noConversion"/>
  </si>
  <si>
    <t xml:space="preserve"> DM-RUN 21.8</t>
    <phoneticPr fontId="1" type="noConversion"/>
  </si>
  <si>
    <t xml:space="preserve"> DM-RUN 31.7</t>
    <phoneticPr fontId="1" type="noConversion"/>
  </si>
  <si>
    <t xml:space="preserve"> DM-RUN 13.9</t>
    <phoneticPr fontId="1" type="noConversion"/>
  </si>
  <si>
    <t xml:space="preserve"> DM-RUN 13.9 (광의교방향)</t>
    <phoneticPr fontId="1" type="noConversion"/>
  </si>
  <si>
    <t xml:space="preserve"> DM-RUN 15.9 (사림로타리방향)</t>
    <phoneticPr fontId="1" type="noConversion"/>
  </si>
  <si>
    <t xml:space="preserve"> DM-RUN 15.9</t>
    <phoneticPr fontId="1" type="noConversion"/>
  </si>
  <si>
    <t xml:space="preserve"> DM-RUN 17.9</t>
    <phoneticPr fontId="1" type="noConversion"/>
  </si>
  <si>
    <t xml:space="preserve"> DM-RUN 17.9 (광의대교방향)</t>
    <phoneticPr fontId="1" type="noConversion"/>
  </si>
  <si>
    <t xml:space="preserve"> DM-RUN 8 (광의대교방향)</t>
    <phoneticPr fontId="1" type="noConversion"/>
  </si>
  <si>
    <t xml:space="preserve"> DM-RUN 19.8</t>
    <phoneticPr fontId="1" type="noConversion"/>
  </si>
  <si>
    <t xml:space="preserve"> DM-RUN 21.8 (광의대교방향)</t>
    <phoneticPr fontId="1" type="noConversion"/>
  </si>
  <si>
    <t xml:space="preserve"> DM-RUN 23.8</t>
    <phoneticPr fontId="1" type="noConversion"/>
  </si>
  <si>
    <t xml:space="preserve"> DM-RUN 23.8 (광의교방향)</t>
    <phoneticPr fontId="1" type="noConversion"/>
  </si>
  <si>
    <t xml:space="preserve"> DM-RUN 25.8</t>
    <phoneticPr fontId="1" type="noConversion"/>
  </si>
  <si>
    <t xml:space="preserve"> DM-RUN 25.8 (사림로타리방향)</t>
    <phoneticPr fontId="1" type="noConversion"/>
  </si>
  <si>
    <t xml:space="preserve"> DM-RUN 27.8 (광의대교방향)</t>
    <phoneticPr fontId="1" type="noConversion"/>
  </si>
  <si>
    <t xml:space="preserve"> DM-RUN 27.8</t>
    <phoneticPr fontId="1" type="noConversion"/>
  </si>
  <si>
    <t xml:space="preserve"> DM-RUN 29.8</t>
    <phoneticPr fontId="1" type="noConversion"/>
  </si>
  <si>
    <t xml:space="preserve"> DM-RUN 31.7 (광의대교방향)</t>
    <phoneticPr fontId="1" type="noConversion"/>
  </si>
  <si>
    <t xml:space="preserve"> DM-RUN 33.7 (광의교방향)</t>
    <phoneticPr fontId="1" type="noConversion"/>
  </si>
  <si>
    <t xml:space="preserve"> DM-RUN 35.7</t>
    <phoneticPr fontId="1" type="noConversion"/>
  </si>
  <si>
    <t xml:space="preserve"> DM-RUN 33.7</t>
    <phoneticPr fontId="1" type="noConversion"/>
  </si>
  <si>
    <t xml:space="preserve"> DM-RUN 35.7 (사림로타리방향)</t>
    <phoneticPr fontId="1" type="noConversion"/>
  </si>
  <si>
    <t xml:space="preserve"> DM-RUN 37.7 (광의대교방향)</t>
    <phoneticPr fontId="1" type="noConversion"/>
  </si>
  <si>
    <t xml:space="preserve"> DM-RUN 37.7</t>
    <phoneticPr fontId="1" type="noConversion"/>
  </si>
  <si>
    <t xml:space="preserve"> DM-RUN 39.7</t>
    <phoneticPr fontId="1" type="noConversion"/>
  </si>
  <si>
    <t>런 시작</t>
    <phoneticPr fontId="1" type="noConversion"/>
  </si>
  <si>
    <t>1보급-황현선생 동상앞</t>
    <phoneticPr fontId="1" type="noConversion"/>
  </si>
  <si>
    <t>런 퍼스널니즈</t>
    <phoneticPr fontId="1" type="noConversion"/>
  </si>
  <si>
    <t>차이</t>
    <phoneticPr fontId="1" type="noConversion"/>
  </si>
  <si>
    <t xml:space="preserve">  </t>
    <phoneticPr fontId="1" type="noConversion"/>
  </si>
  <si>
    <t>스카이바이크</t>
    <phoneticPr fontId="1" type="noConversion"/>
  </si>
  <si>
    <t>스카이바이크 100M 이전</t>
    <phoneticPr fontId="1" type="noConversion"/>
  </si>
  <si>
    <t>스카이바이크 100M</t>
    <phoneticPr fontId="1" type="noConversion"/>
  </si>
  <si>
    <t>한성산업</t>
    <phoneticPr fontId="1" type="noConversion"/>
  </si>
  <si>
    <t>문척교차로에서 1키로</t>
    <phoneticPr fontId="1" type="noConversion"/>
  </si>
  <si>
    <t>cut off</t>
    <phoneticPr fontId="1" type="noConversion"/>
  </si>
  <si>
    <t xml:space="preserve"> DM-RUN 41.7</t>
    <phoneticPr fontId="1" type="noConversion"/>
  </si>
  <si>
    <t>승무랑분자랑,바람개비 간판 지나서 130m</t>
    <phoneticPr fontId="1" type="noConversion"/>
  </si>
  <si>
    <t xml:space="preserve"> 양동마을 지나 석천법사 표지옆 무수내 비석</t>
    <phoneticPr fontId="1" type="noConversion"/>
  </si>
  <si>
    <t>5 persons at 5sec</t>
    <phoneticPr fontId="1" type="noConversion"/>
  </si>
  <si>
    <t>60 persons / 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</si>
</sst>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h:mm;@"/>
    <numFmt numFmtId="177" formatCode="0.0_ "/>
    <numFmt numFmtId="178" formatCode="0.0_);[Red]\(0.0\)"/>
    <numFmt numFmtId="179" formatCode="0.00_);[Red]\(0.00\)"/>
    <numFmt numFmtId="180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2" fillId="0" borderId="0" xfId="0" applyFont="1">
      <alignment vertical="center"/>
    </xf>
    <xf numFmtId="20" fontId="2" fillId="0" borderId="0" xfId="0" applyNumberFormat="1" applyFont="1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177" fontId="4" fillId="2" borderId="0" xfId="0" applyNumberFormat="1" applyFont="1" applyFill="1">
      <alignment vertical="center"/>
    </xf>
    <xf numFmtId="177" fontId="0" fillId="2" borderId="0" xfId="0" applyNumberFormat="1" applyFill="1">
      <alignment vertical="center"/>
    </xf>
    <xf numFmtId="176" fontId="3" fillId="0" borderId="0" xfId="0" applyNumberFormat="1" applyFont="1">
      <alignment vertical="center"/>
    </xf>
    <xf numFmtId="0" fontId="3" fillId="0" borderId="0" xfId="0" applyFont="1">
      <alignment vertical="center"/>
    </xf>
    <xf numFmtId="178" fontId="3" fillId="0" borderId="0" xfId="0" applyNumberFormat="1" applyFont="1">
      <alignment vertical="center"/>
    </xf>
    <xf numFmtId="178" fontId="0" fillId="0" borderId="0" xfId="0" applyNumberFormat="1">
      <alignment vertical="center"/>
    </xf>
    <xf numFmtId="20" fontId="0" fillId="0" borderId="0" xfId="0" applyNumberFormat="1">
      <alignment vertical="center"/>
    </xf>
    <xf numFmtId="14" fontId="2" fillId="0" borderId="0" xfId="0" applyNumberFormat="1" applyFont="1">
      <alignment vertical="center"/>
    </xf>
    <xf numFmtId="179" fontId="3" fillId="0" borderId="0" xfId="0" applyNumberFormat="1" applyFont="1">
      <alignment vertical="center"/>
    </xf>
    <xf numFmtId="179" fontId="0" fillId="0" borderId="0" xfId="0" applyNumberFormat="1">
      <alignment vertical="center"/>
    </xf>
    <xf numFmtId="176" fontId="2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77" fontId="0" fillId="0" borderId="2" xfId="0" applyNumberFormat="1" applyBorder="1">
      <alignment vertical="center"/>
    </xf>
    <xf numFmtId="176" fontId="3" fillId="0" borderId="2" xfId="0" applyNumberFormat="1" applyFont="1" applyBorder="1">
      <alignment vertical="center"/>
    </xf>
    <xf numFmtId="0" fontId="3" fillId="0" borderId="2" xfId="0" applyFont="1" applyBorder="1">
      <alignment vertical="center"/>
    </xf>
    <xf numFmtId="177" fontId="0" fillId="0" borderId="3" xfId="0" applyNumberFormat="1" applyBorder="1">
      <alignment vertical="center"/>
    </xf>
    <xf numFmtId="177" fontId="0" fillId="0" borderId="5" xfId="0" applyNumberFormat="1" applyBorder="1">
      <alignment vertical="center"/>
    </xf>
    <xf numFmtId="0" fontId="0" fillId="0" borderId="4" xfId="0" applyBorder="1">
      <alignment vertical="center"/>
    </xf>
    <xf numFmtId="177" fontId="2" fillId="0" borderId="5" xfId="0" applyNumberFormat="1" applyFont="1" applyBorder="1">
      <alignment vertical="center"/>
    </xf>
    <xf numFmtId="177" fontId="3" fillId="0" borderId="5" xfId="0" applyNumberFormat="1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177" fontId="0" fillId="0" borderId="7" xfId="0" applyNumberFormat="1" applyBorder="1">
      <alignment vertical="center"/>
    </xf>
    <xf numFmtId="176" fontId="3" fillId="0" borderId="7" xfId="0" applyNumberFormat="1" applyFont="1" applyBorder="1">
      <alignment vertical="center"/>
    </xf>
    <xf numFmtId="0" fontId="3" fillId="0" borderId="7" xfId="0" applyFont="1" applyBorder="1">
      <alignment vertical="center"/>
    </xf>
    <xf numFmtId="177" fontId="0" fillId="0" borderId="8" xfId="0" applyNumberFormat="1" applyBorder="1">
      <alignment vertical="center"/>
    </xf>
    <xf numFmtId="20" fontId="2" fillId="4" borderId="0" xfId="0" applyNumberFormat="1" applyFont="1" applyFill="1">
      <alignment vertical="center"/>
    </xf>
    <xf numFmtId="0" fontId="0" fillId="4" borderId="5" xfId="0" applyFill="1" applyBorder="1">
      <alignment vertical="center"/>
    </xf>
    <xf numFmtId="177" fontId="2" fillId="0" borderId="7" xfId="0" applyNumberFormat="1" applyFont="1" applyBorder="1">
      <alignment vertical="center"/>
    </xf>
    <xf numFmtId="177" fontId="3" fillId="0" borderId="0" xfId="0" applyNumberFormat="1" applyFont="1">
      <alignment vertical="center"/>
    </xf>
    <xf numFmtId="0" fontId="0" fillId="3" borderId="2" xfId="0" applyFill="1" applyBorder="1">
      <alignment vertical="center"/>
    </xf>
    <xf numFmtId="177" fontId="0" fillId="3" borderId="2" xfId="0" applyNumberFormat="1" applyFill="1" applyBorder="1">
      <alignment vertical="center"/>
    </xf>
    <xf numFmtId="0" fontId="0" fillId="3" borderId="0" xfId="0" applyFill="1">
      <alignment vertical="center"/>
    </xf>
    <xf numFmtId="177" fontId="0" fillId="3" borderId="0" xfId="0" applyNumberFormat="1" applyFill="1">
      <alignment vertical="center"/>
    </xf>
    <xf numFmtId="177" fontId="3" fillId="0" borderId="3" xfId="0" applyNumberFormat="1" applyFont="1" applyBorder="1">
      <alignment vertical="center"/>
    </xf>
    <xf numFmtId="177" fontId="3" fillId="0" borderId="7" xfId="0" applyNumberFormat="1" applyFont="1" applyBorder="1">
      <alignment vertical="center"/>
    </xf>
    <xf numFmtId="177" fontId="3" fillId="0" borderId="2" xfId="0" applyNumberFormat="1" applyFont="1" applyBorder="1">
      <alignment vertical="center"/>
    </xf>
    <xf numFmtId="0" fontId="3" fillId="5" borderId="4" xfId="0" applyFont="1" applyFill="1" applyBorder="1">
      <alignment vertical="center"/>
    </xf>
    <xf numFmtId="0" fontId="2" fillId="0" borderId="7" xfId="0" applyFont="1" applyBorder="1">
      <alignment vertical="center"/>
    </xf>
    <xf numFmtId="0" fontId="3" fillId="0" borderId="1" xfId="0" applyFont="1" applyBorder="1">
      <alignment vertical="center"/>
    </xf>
    <xf numFmtId="0" fontId="0" fillId="5" borderId="6" xfId="0" applyFill="1" applyBorder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5" xfId="0" applyBorder="1">
      <alignment vertical="center"/>
    </xf>
    <xf numFmtId="177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3" fillId="0" borderId="4" xfId="0" applyFont="1" applyBorder="1">
      <alignment vertical="center"/>
    </xf>
    <xf numFmtId="0" fontId="0" fillId="6" borderId="6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0" fillId="2" borderId="10" xfId="0" applyFill="1" applyBorder="1">
      <alignment vertical="center"/>
    </xf>
    <xf numFmtId="177" fontId="4" fillId="2" borderId="10" xfId="0" applyNumberFormat="1" applyFont="1" applyFill="1" applyBorder="1">
      <alignment vertical="center"/>
    </xf>
    <xf numFmtId="177" fontId="0" fillId="2" borderId="10" xfId="0" applyNumberFormat="1" applyFill="1" applyBorder="1">
      <alignment vertical="center"/>
    </xf>
    <xf numFmtId="177" fontId="4" fillId="2" borderId="11" xfId="0" applyNumberFormat="1" applyFont="1" applyFill="1" applyBorder="1">
      <alignment vertical="center"/>
    </xf>
    <xf numFmtId="0" fontId="0" fillId="4" borderId="0" xfId="0" applyFill="1">
      <alignment vertical="center"/>
    </xf>
    <xf numFmtId="0" fontId="2" fillId="0" borderId="4" xfId="0" applyFont="1" applyBorder="1">
      <alignment vertical="center"/>
    </xf>
    <xf numFmtId="176" fontId="3" fillId="5" borderId="0" xfId="0" applyNumberFormat="1" applyFont="1" applyFill="1">
      <alignment vertical="center"/>
    </xf>
    <xf numFmtId="176" fontId="3" fillId="5" borderId="7" xfId="0" applyNumberFormat="1" applyFont="1" applyFill="1" applyBorder="1">
      <alignment vertical="center"/>
    </xf>
    <xf numFmtId="176" fontId="3" fillId="5" borderId="2" xfId="0" applyNumberFormat="1" applyFont="1" applyFill="1" applyBorder="1">
      <alignment vertical="center"/>
    </xf>
    <xf numFmtId="0" fontId="0" fillId="7" borderId="6" xfId="0" applyFill="1" applyBorder="1">
      <alignment vertical="center"/>
    </xf>
    <xf numFmtId="0" fontId="0" fillId="7" borderId="7" xfId="0" applyFill="1" applyBorder="1">
      <alignment vertical="center"/>
    </xf>
    <xf numFmtId="177" fontId="2" fillId="7" borderId="7" xfId="0" applyNumberFormat="1" applyFont="1" applyFill="1" applyBorder="1">
      <alignment vertical="center"/>
    </xf>
    <xf numFmtId="176" fontId="3" fillId="7" borderId="7" xfId="0" applyNumberFormat="1" applyFon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0" xfId="0" applyFill="1">
      <alignment vertical="center"/>
    </xf>
    <xf numFmtId="177" fontId="0" fillId="0" borderId="0" xfId="0" applyNumberFormat="1" applyFill="1">
      <alignment vertical="center"/>
    </xf>
    <xf numFmtId="176" fontId="3" fillId="0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177" fontId="0" fillId="0" borderId="5" xfId="0" applyNumberForma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A763D-285A-4AF7-A394-194DD4C04920}">
  <dimension ref="A1:K241"/>
  <sheetViews>
    <sheetView tabSelected="1" workbookViewId="0">
      <selection activeCell="F113" sqref="F113"/>
    </sheetView>
  </sheetViews>
  <sheetFormatPr defaultColWidth="9" defaultRowHeight="17.399999999999999" x14ac:dyDescent="0.4"/>
  <cols>
    <col min="1" max="1" width="32.8984375" customWidth="1"/>
    <col min="2" max="2" width="4.5" customWidth="1"/>
    <col min="3" max="3" width="4.09765625" customWidth="1"/>
    <col min="4" max="4" width="5.59765625" customWidth="1"/>
    <col min="5" max="5" width="6.09765625" style="1" customWidth="1"/>
    <col min="6" max="6" width="7" customWidth="1"/>
    <col min="7" max="7" width="7.69921875" customWidth="1"/>
    <col min="8" max="8" width="7.796875" customWidth="1"/>
    <col min="9" max="9" width="7.69921875" customWidth="1"/>
    <col min="10" max="10" width="8.5" style="1" customWidth="1"/>
    <col min="11" max="11" width="6.296875" style="1" customWidth="1"/>
  </cols>
  <sheetData>
    <row r="1" spans="1:11" x14ac:dyDescent="0.4">
      <c r="B1" s="1"/>
      <c r="C1" s="2"/>
      <c r="F1" s="2"/>
    </row>
    <row r="2" spans="1:11" ht="34.799999999999997" x14ac:dyDescent="0.4">
      <c r="A2" s="54" t="s">
        <v>34</v>
      </c>
      <c r="B2" s="1" t="s">
        <v>183</v>
      </c>
      <c r="F2" t="s">
        <v>35</v>
      </c>
      <c r="G2" s="3">
        <v>0.29166666666666669</v>
      </c>
      <c r="H2" s="3">
        <v>0.30486111111111114</v>
      </c>
      <c r="I2" s="2"/>
    </row>
    <row r="3" spans="1:11" x14ac:dyDescent="0.4">
      <c r="A3" s="22"/>
      <c r="B3" s="1" t="s">
        <v>182</v>
      </c>
    </row>
    <row r="4" spans="1:11" x14ac:dyDescent="0.4">
      <c r="A4" s="5">
        <v>46248</v>
      </c>
      <c r="G4" t="s">
        <v>38</v>
      </c>
      <c r="H4" t="s">
        <v>39</v>
      </c>
    </row>
    <row r="5" spans="1:11" x14ac:dyDescent="0.4">
      <c r="A5" s="16" t="s">
        <v>11</v>
      </c>
      <c r="B5" s="5"/>
      <c r="C5" s="5"/>
      <c r="E5" t="s">
        <v>41</v>
      </c>
      <c r="F5" s="1" t="s">
        <v>0</v>
      </c>
      <c r="G5" s="18">
        <v>4.5</v>
      </c>
      <c r="H5" s="17">
        <v>1.64</v>
      </c>
      <c r="I5" s="12"/>
    </row>
    <row r="6" spans="1:11" ht="25.95" customHeight="1" x14ac:dyDescent="0.4">
      <c r="A6" s="60" t="s">
        <v>36</v>
      </c>
      <c r="B6" s="61" t="s">
        <v>2</v>
      </c>
      <c r="C6" s="62" t="s">
        <v>17</v>
      </c>
      <c r="D6" s="63" t="s">
        <v>40</v>
      </c>
      <c r="E6" s="64" t="s">
        <v>78</v>
      </c>
      <c r="F6" s="65" t="s">
        <v>3</v>
      </c>
      <c r="G6" s="63" t="s">
        <v>38</v>
      </c>
      <c r="H6" s="63" t="s">
        <v>39</v>
      </c>
      <c r="I6" s="63"/>
      <c r="J6" s="65" t="s">
        <v>18</v>
      </c>
      <c r="K6" s="66" t="s">
        <v>171</v>
      </c>
    </row>
    <row r="7" spans="1:11" x14ac:dyDescent="0.4">
      <c r="A7" t="s">
        <v>13</v>
      </c>
      <c r="G7" s="15">
        <f>G2</f>
        <v>0.29166666666666669</v>
      </c>
      <c r="H7" s="3">
        <f>H2</f>
        <v>0.30486111111111114</v>
      </c>
      <c r="I7" s="2"/>
    </row>
    <row r="8" spans="1:11" x14ac:dyDescent="0.4">
      <c r="A8" t="s">
        <v>12</v>
      </c>
      <c r="D8">
        <v>1.9</v>
      </c>
      <c r="F8">
        <f>D8</f>
        <v>1.9</v>
      </c>
      <c r="G8" s="11">
        <f>$G$2+($F8/G$5/24)</f>
        <v>0.30925925925925929</v>
      </c>
      <c r="H8" s="11">
        <f>$H$2+($F8/H$5/24)</f>
        <v>0.35313346883468838</v>
      </c>
      <c r="I8" s="12"/>
    </row>
    <row r="9" spans="1:11" x14ac:dyDescent="0.4">
      <c r="A9" t="s">
        <v>14</v>
      </c>
      <c r="D9">
        <v>1.9</v>
      </c>
      <c r="F9" s="2">
        <f>SUM(D8:D9)</f>
        <v>3.8</v>
      </c>
      <c r="G9" s="11">
        <f>$G$2+(F9/G$5/24)</f>
        <v>0.32685185185185189</v>
      </c>
      <c r="H9" s="19">
        <f>$H$2+($F9/H$5/24)</f>
        <v>0.40140582655826562</v>
      </c>
      <c r="I9" s="2"/>
    </row>
    <row r="10" spans="1:11" x14ac:dyDescent="0.4">
      <c r="G10" s="11"/>
      <c r="H10" s="11"/>
      <c r="I10" s="12"/>
    </row>
    <row r="11" spans="1:11" x14ac:dyDescent="0.4">
      <c r="A11" s="2" t="s">
        <v>30</v>
      </c>
      <c r="G11" s="21">
        <v>3</v>
      </c>
      <c r="H11" s="21">
        <v>10</v>
      </c>
      <c r="I11" s="12"/>
    </row>
    <row r="12" spans="1:11" x14ac:dyDescent="0.4">
      <c r="A12" s="2" t="s">
        <v>29</v>
      </c>
      <c r="G12" s="19">
        <f>G9+TIME(0,G11,0)</f>
        <v>0.32893518518518522</v>
      </c>
      <c r="H12" s="19">
        <f>H9+TIME(0,H11,0)</f>
        <v>0.40835027100271004</v>
      </c>
      <c r="I12" s="2"/>
    </row>
    <row r="13" spans="1:11" x14ac:dyDescent="0.4">
      <c r="A13" s="2"/>
      <c r="G13" s="4"/>
      <c r="H13" s="4"/>
    </row>
    <row r="14" spans="1:11" x14ac:dyDescent="0.4">
      <c r="E14" s="1" t="s">
        <v>172</v>
      </c>
      <c r="G14" t="s">
        <v>38</v>
      </c>
      <c r="H14" t="s">
        <v>39</v>
      </c>
    </row>
    <row r="15" spans="1:11" x14ac:dyDescent="0.4">
      <c r="A15" s="16" t="s">
        <v>15</v>
      </c>
      <c r="B15" s="5"/>
      <c r="C15" s="5"/>
      <c r="E15" t="s">
        <v>41</v>
      </c>
      <c r="F15" s="1" t="s">
        <v>0</v>
      </c>
      <c r="G15" s="14">
        <v>42</v>
      </c>
      <c r="H15" s="13">
        <v>22.2</v>
      </c>
      <c r="I15" s="12"/>
    </row>
    <row r="16" spans="1:11" ht="25.95" customHeight="1" x14ac:dyDescent="0.4">
      <c r="A16" s="60" t="s">
        <v>19</v>
      </c>
      <c r="B16" s="61" t="s">
        <v>2</v>
      </c>
      <c r="C16" s="62" t="s">
        <v>17</v>
      </c>
      <c r="D16" s="63" t="s">
        <v>40</v>
      </c>
      <c r="E16" s="64" t="s">
        <v>78</v>
      </c>
      <c r="F16" s="65" t="s">
        <v>3</v>
      </c>
      <c r="G16" s="63" t="s">
        <v>38</v>
      </c>
      <c r="H16" s="63" t="s">
        <v>39</v>
      </c>
      <c r="I16" s="63" t="s">
        <v>48</v>
      </c>
      <c r="J16" s="65" t="s">
        <v>18</v>
      </c>
      <c r="K16" s="66" t="s">
        <v>171</v>
      </c>
    </row>
    <row r="17" spans="1:11" x14ac:dyDescent="0.4">
      <c r="A17" s="30" t="s">
        <v>23</v>
      </c>
      <c r="D17">
        <v>0</v>
      </c>
      <c r="F17" s="1">
        <f>D17</f>
        <v>0</v>
      </c>
      <c r="G17" s="11">
        <f>G12</f>
        <v>0.32893518518518522</v>
      </c>
      <c r="H17" s="11">
        <f>H12</f>
        <v>0.40835027100271004</v>
      </c>
      <c r="I17" s="12"/>
      <c r="K17" s="29"/>
    </row>
    <row r="18" spans="1:11" x14ac:dyDescent="0.4">
      <c r="A18" s="30" t="s">
        <v>54</v>
      </c>
      <c r="D18">
        <v>3.55</v>
      </c>
      <c r="F18" s="1">
        <f>D18</f>
        <v>3.55</v>
      </c>
      <c r="G18" s="69">
        <f>G$17+($F18/G$15/24)</f>
        <v>0.3324570105820106</v>
      </c>
      <c r="H18" s="11">
        <f>H$17+($F18/H$15/24)</f>
        <v>0.41501318391562297</v>
      </c>
      <c r="I18" s="12"/>
      <c r="K18" s="29"/>
    </row>
    <row r="19" spans="1:11" x14ac:dyDescent="0.4">
      <c r="A19" s="30" t="s">
        <v>73</v>
      </c>
      <c r="B19" t="s">
        <v>1</v>
      </c>
      <c r="C19">
        <v>1</v>
      </c>
      <c r="D19">
        <v>1.27</v>
      </c>
      <c r="F19" s="1">
        <f>SUM($D$17:D19)</f>
        <v>4.82</v>
      </c>
      <c r="G19" s="11">
        <f t="shared" ref="G19:H38" si="0">G$17+($F19/G$15/24)</f>
        <v>0.33371693121693125</v>
      </c>
      <c r="H19" s="11">
        <f t="shared" si="0"/>
        <v>0.41739681754925662</v>
      </c>
      <c r="I19" s="12"/>
      <c r="K19" s="29"/>
    </row>
    <row r="20" spans="1:11" x14ac:dyDescent="0.4">
      <c r="A20" s="30" t="s">
        <v>55</v>
      </c>
      <c r="D20">
        <v>1.27</v>
      </c>
      <c r="F20" s="1">
        <f>SUM($D$17:D20)</f>
        <v>6.09</v>
      </c>
      <c r="G20" s="11">
        <f t="shared" si="0"/>
        <v>0.33497685185185189</v>
      </c>
      <c r="H20" s="11">
        <f t="shared" si="0"/>
        <v>0.4197804511828902</v>
      </c>
      <c r="I20" s="12"/>
      <c r="K20" s="29"/>
    </row>
    <row r="21" spans="1:11" x14ac:dyDescent="0.4">
      <c r="A21" s="58" t="s">
        <v>104</v>
      </c>
      <c r="C21" t="s">
        <v>79</v>
      </c>
      <c r="F21" s="1"/>
      <c r="G21" s="11"/>
      <c r="H21" s="11"/>
      <c r="I21" s="2" t="s">
        <v>89</v>
      </c>
      <c r="K21" s="29"/>
    </row>
    <row r="22" spans="1:11" x14ac:dyDescent="0.4">
      <c r="A22" s="30" t="s">
        <v>74</v>
      </c>
      <c r="D22">
        <v>4.3499999999999996</v>
      </c>
      <c r="F22" s="1">
        <f>SUM($D$17:D22)</f>
        <v>10.44</v>
      </c>
      <c r="G22" s="69">
        <f t="shared" si="0"/>
        <v>0.33929232804232806</v>
      </c>
      <c r="H22" s="69">
        <f t="shared" si="0"/>
        <v>0.42794486559730466</v>
      </c>
      <c r="I22" s="12"/>
      <c r="K22" s="29"/>
    </row>
    <row r="23" spans="1:11" x14ac:dyDescent="0.4">
      <c r="A23" s="30" t="s">
        <v>75</v>
      </c>
      <c r="D23">
        <v>0.75</v>
      </c>
      <c r="F23" s="1">
        <f>SUM($D$17:D23)</f>
        <v>11.19</v>
      </c>
      <c r="G23" s="11">
        <f t="shared" si="0"/>
        <v>0.34003637566137568</v>
      </c>
      <c r="H23" s="11">
        <f t="shared" si="0"/>
        <v>0.42935252325496231</v>
      </c>
      <c r="I23" s="12"/>
      <c r="K23" s="29"/>
    </row>
    <row r="24" spans="1:11" x14ac:dyDescent="0.4">
      <c r="A24" s="30" t="s">
        <v>76</v>
      </c>
      <c r="D24">
        <v>2.0099999999999998</v>
      </c>
      <c r="F24" s="1">
        <f>SUM($D$17:D24)</f>
        <v>13.2</v>
      </c>
      <c r="G24" s="11">
        <f t="shared" si="0"/>
        <v>0.34203042328042332</v>
      </c>
      <c r="H24" s="11">
        <f t="shared" si="0"/>
        <v>0.43312504577748484</v>
      </c>
      <c r="I24" s="12"/>
      <c r="K24" s="29"/>
    </row>
    <row r="25" spans="1:11" s="77" customFormat="1" x14ac:dyDescent="0.4">
      <c r="A25" s="76" t="s">
        <v>66</v>
      </c>
      <c r="D25" s="77">
        <v>0.3</v>
      </c>
      <c r="E25" s="78"/>
      <c r="F25" s="78">
        <f>SUM($D$17:D25)</f>
        <v>13.5</v>
      </c>
      <c r="G25" s="79">
        <f t="shared" si="0"/>
        <v>0.34232804232804237</v>
      </c>
      <c r="H25" s="79">
        <f t="shared" si="0"/>
        <v>0.43368810884054787</v>
      </c>
      <c r="I25" s="80"/>
      <c r="J25" s="78"/>
      <c r="K25" s="81"/>
    </row>
    <row r="26" spans="1:11" x14ac:dyDescent="0.4">
      <c r="A26" s="30" t="s">
        <v>87</v>
      </c>
      <c r="D26">
        <v>1.7</v>
      </c>
      <c r="F26" s="42">
        <f>SUM($D$17:D26)</f>
        <v>15.2</v>
      </c>
      <c r="G26" s="11">
        <f t="shared" si="0"/>
        <v>0.3440145502645503</v>
      </c>
      <c r="H26" s="11">
        <f t="shared" si="0"/>
        <v>0.43687879953123859</v>
      </c>
      <c r="I26" s="12"/>
      <c r="J26" s="1" t="s">
        <v>87</v>
      </c>
      <c r="K26" s="29">
        <f>F26</f>
        <v>15.2</v>
      </c>
    </row>
    <row r="27" spans="1:11" x14ac:dyDescent="0.4">
      <c r="A27" s="30" t="s">
        <v>49</v>
      </c>
      <c r="D27">
        <v>1.7</v>
      </c>
      <c r="F27" s="1">
        <f>SUM($D$17:D27)</f>
        <v>16.899999999999999</v>
      </c>
      <c r="G27" s="69">
        <f t="shared" si="0"/>
        <v>0.34570105820105823</v>
      </c>
      <c r="H27" s="11">
        <f t="shared" si="0"/>
        <v>0.44006949022192926</v>
      </c>
      <c r="I27" s="12"/>
      <c r="K27" s="29"/>
    </row>
    <row r="28" spans="1:11" x14ac:dyDescent="0.4">
      <c r="A28" s="30" t="s">
        <v>176</v>
      </c>
      <c r="D28">
        <v>1.2</v>
      </c>
      <c r="F28" s="1">
        <f>SUM($D$17:D28)</f>
        <v>18.099999999999998</v>
      </c>
      <c r="G28" s="11">
        <f t="shared" si="0"/>
        <v>0.34689153439153442</v>
      </c>
      <c r="H28" s="11">
        <f t="shared" si="0"/>
        <v>0.44232174247418149</v>
      </c>
      <c r="I28" s="12"/>
      <c r="K28" s="29"/>
    </row>
    <row r="29" spans="1:11" x14ac:dyDescent="0.4">
      <c r="A29" s="30" t="s">
        <v>50</v>
      </c>
      <c r="D29">
        <v>1.5</v>
      </c>
      <c r="F29" s="1">
        <f>SUM($D$17:D29)</f>
        <v>19.599999999999998</v>
      </c>
      <c r="G29" s="11">
        <f t="shared" si="0"/>
        <v>0.34837962962962965</v>
      </c>
      <c r="H29" s="11">
        <f t="shared" si="0"/>
        <v>0.4451370577894968</v>
      </c>
      <c r="I29" s="12"/>
      <c r="K29" s="29"/>
    </row>
    <row r="30" spans="1:11" x14ac:dyDescent="0.4">
      <c r="A30" s="58" t="s">
        <v>105</v>
      </c>
      <c r="C30" t="s">
        <v>106</v>
      </c>
      <c r="F30" s="1"/>
      <c r="G30" s="11"/>
      <c r="H30" s="11"/>
      <c r="I30" s="2" t="s">
        <v>90</v>
      </c>
      <c r="K30" s="29"/>
    </row>
    <row r="31" spans="1:11" x14ac:dyDescent="0.4">
      <c r="A31" s="30" t="s">
        <v>51</v>
      </c>
      <c r="D31">
        <v>1.9</v>
      </c>
      <c r="F31" s="1">
        <f>SUM($D$17:D31)</f>
        <v>21.499999999999996</v>
      </c>
      <c r="G31" s="69">
        <f t="shared" si="0"/>
        <v>0.35026455026455028</v>
      </c>
      <c r="H31" s="11">
        <f t="shared" si="0"/>
        <v>0.44870312385556288</v>
      </c>
      <c r="I31" s="12"/>
      <c r="K31" s="29"/>
    </row>
    <row r="32" spans="1:11" x14ac:dyDescent="0.4">
      <c r="A32" s="30" t="s">
        <v>52</v>
      </c>
      <c r="B32" t="s">
        <v>6</v>
      </c>
      <c r="C32">
        <v>2</v>
      </c>
      <c r="D32">
        <v>0.26</v>
      </c>
      <c r="F32" s="1">
        <f>SUM($D$17:D32)</f>
        <v>21.759999999999998</v>
      </c>
      <c r="G32" s="11">
        <f t="shared" si="0"/>
        <v>0.35052248677248682</v>
      </c>
      <c r="H32" s="11">
        <f t="shared" si="0"/>
        <v>0.44919111184355087</v>
      </c>
      <c r="I32" s="12"/>
      <c r="K32" s="29"/>
    </row>
    <row r="33" spans="1:11" x14ac:dyDescent="0.4">
      <c r="A33" s="30" t="s">
        <v>51</v>
      </c>
      <c r="D33">
        <v>0.26</v>
      </c>
      <c r="F33" s="1">
        <f>SUM($D$17:D33)</f>
        <v>22.02</v>
      </c>
      <c r="G33" s="11">
        <f t="shared" si="0"/>
        <v>0.3507804232804233</v>
      </c>
      <c r="H33" s="11">
        <f t="shared" si="0"/>
        <v>0.44967909983153886</v>
      </c>
      <c r="I33" s="12"/>
      <c r="K33" s="29"/>
    </row>
    <row r="34" spans="1:11" ht="18" thickBot="1" x14ac:dyDescent="0.45">
      <c r="A34" s="33" t="s">
        <v>53</v>
      </c>
      <c r="B34" s="34"/>
      <c r="C34" s="34"/>
      <c r="D34" s="34">
        <v>1.06</v>
      </c>
      <c r="E34" s="41">
        <f>SUM(D17:D34)</f>
        <v>23.08</v>
      </c>
      <c r="F34" s="35">
        <f>SUM($D$17:D34)</f>
        <v>23.08</v>
      </c>
      <c r="G34" s="70">
        <f t="shared" si="0"/>
        <v>0.35183201058201063</v>
      </c>
      <c r="H34" s="36">
        <f t="shared" si="0"/>
        <v>0.45166858932102838</v>
      </c>
      <c r="I34" s="37"/>
      <c r="J34" s="35"/>
      <c r="K34" s="38"/>
    </row>
    <row r="35" spans="1:11" ht="18" thickBot="1" x14ac:dyDescent="0.45">
      <c r="F35" s="1"/>
      <c r="G35" s="4"/>
      <c r="H35" s="4"/>
    </row>
    <row r="36" spans="1:11" x14ac:dyDescent="0.4">
      <c r="A36" s="23" t="s">
        <v>4</v>
      </c>
      <c r="B36" s="24"/>
      <c r="C36" s="24"/>
      <c r="D36" s="24">
        <v>6.52</v>
      </c>
      <c r="E36" s="25"/>
      <c r="F36" s="25">
        <f>SUM($D$17:D36)</f>
        <v>29.599999999999998</v>
      </c>
      <c r="G36" s="26">
        <f t="shared" si="0"/>
        <v>0.35830026455026459</v>
      </c>
      <c r="H36" s="26">
        <f t="shared" si="0"/>
        <v>0.46390582655826562</v>
      </c>
      <c r="I36" s="27"/>
      <c r="J36" s="25"/>
      <c r="K36" s="28"/>
    </row>
    <row r="37" spans="1:11" x14ac:dyDescent="0.4">
      <c r="A37" s="58" t="s">
        <v>107</v>
      </c>
      <c r="C37" t="s">
        <v>81</v>
      </c>
      <c r="F37" s="1"/>
      <c r="G37" s="11"/>
      <c r="H37" s="11"/>
      <c r="I37" s="2" t="s">
        <v>91</v>
      </c>
      <c r="K37" s="29"/>
    </row>
    <row r="38" spans="1:11" x14ac:dyDescent="0.4">
      <c r="A38" s="30" t="s">
        <v>56</v>
      </c>
      <c r="D38">
        <v>0.4</v>
      </c>
      <c r="F38" s="1">
        <f>SUM($D$17:D38)</f>
        <v>29.999999999999996</v>
      </c>
      <c r="G38" s="11">
        <f t="shared" si="0"/>
        <v>0.35869708994708999</v>
      </c>
      <c r="H38" s="11">
        <f t="shared" si="0"/>
        <v>0.46465657730901633</v>
      </c>
      <c r="I38" s="12"/>
      <c r="K38" s="29"/>
    </row>
    <row r="39" spans="1:11" x14ac:dyDescent="0.4">
      <c r="A39" s="30" t="s">
        <v>57</v>
      </c>
      <c r="B39" t="s">
        <v>7</v>
      </c>
      <c r="C39">
        <v>3</v>
      </c>
      <c r="D39">
        <v>4.03</v>
      </c>
      <c r="F39" s="1">
        <f>SUM($D$17:D39)</f>
        <v>34.029999999999994</v>
      </c>
      <c r="G39" s="11">
        <f t="shared" ref="G39:H62" si="1">G$17+($F39/G$15/24)</f>
        <v>0.36269510582010583</v>
      </c>
      <c r="H39" s="11">
        <f t="shared" si="1"/>
        <v>0.47222039112283015</v>
      </c>
      <c r="I39" s="12"/>
      <c r="K39" s="29"/>
    </row>
    <row r="40" spans="1:11" x14ac:dyDescent="0.4">
      <c r="A40" s="30" t="s">
        <v>58</v>
      </c>
      <c r="D40">
        <v>2</v>
      </c>
      <c r="F40" s="1">
        <f>SUM($D$17:D40)</f>
        <v>36.029999999999994</v>
      </c>
      <c r="G40" s="11">
        <f t="shared" si="1"/>
        <v>0.36467923280423281</v>
      </c>
      <c r="H40" s="11">
        <f t="shared" si="1"/>
        <v>0.4759741448765839</v>
      </c>
      <c r="I40" s="12"/>
      <c r="K40" s="31"/>
    </row>
    <row r="41" spans="1:11" x14ac:dyDescent="0.4">
      <c r="A41" s="30" t="s">
        <v>4</v>
      </c>
      <c r="D41">
        <v>2.4700000000000002</v>
      </c>
      <c r="F41" s="1">
        <f>SUM($D$17:D41)</f>
        <v>38.499999999999993</v>
      </c>
      <c r="G41" s="11">
        <f t="shared" si="1"/>
        <v>0.36712962962962964</v>
      </c>
      <c r="H41" s="11">
        <f t="shared" si="1"/>
        <v>0.48061003076246978</v>
      </c>
      <c r="I41" s="12"/>
      <c r="K41" s="29"/>
    </row>
    <row r="42" spans="1:11" x14ac:dyDescent="0.4">
      <c r="A42" s="30" t="s">
        <v>59</v>
      </c>
      <c r="D42">
        <v>0.49</v>
      </c>
      <c r="F42" s="1">
        <f>SUM($D$17:D42)</f>
        <v>38.989999999999995</v>
      </c>
      <c r="G42" s="11">
        <f t="shared" si="1"/>
        <v>0.36761574074074077</v>
      </c>
      <c r="H42" s="11">
        <f t="shared" si="1"/>
        <v>0.4815297004321395</v>
      </c>
      <c r="I42" s="12"/>
      <c r="J42" s="1" t="s">
        <v>21</v>
      </c>
      <c r="K42" s="32">
        <f>F42-F26</f>
        <v>23.789999999999996</v>
      </c>
    </row>
    <row r="43" spans="1:11" x14ac:dyDescent="0.4">
      <c r="A43" s="58" t="s">
        <v>108</v>
      </c>
      <c r="C43" t="s">
        <v>82</v>
      </c>
      <c r="F43" s="1"/>
      <c r="G43" s="11"/>
      <c r="H43" s="11"/>
      <c r="I43" s="2" t="s">
        <v>111</v>
      </c>
      <c r="K43" s="32"/>
    </row>
    <row r="44" spans="1:11" x14ac:dyDescent="0.4">
      <c r="A44" s="30" t="s">
        <v>80</v>
      </c>
      <c r="D44">
        <v>5.08</v>
      </c>
      <c r="F44" s="1">
        <f>SUM($D$17:D44)</f>
        <v>44.069999999999993</v>
      </c>
      <c r="G44" s="11">
        <f t="shared" si="1"/>
        <v>0.37265542328042334</v>
      </c>
      <c r="H44" s="11">
        <f t="shared" si="1"/>
        <v>0.49106423496667401</v>
      </c>
      <c r="I44" s="12"/>
      <c r="K44" s="32"/>
    </row>
    <row r="45" spans="1:11" x14ac:dyDescent="0.4">
      <c r="A45" s="30" t="s">
        <v>60</v>
      </c>
      <c r="B45" t="s">
        <v>8</v>
      </c>
      <c r="C45">
        <v>4</v>
      </c>
      <c r="D45">
        <v>3.2</v>
      </c>
      <c r="F45" s="1">
        <f>SUM($D$17:D45)</f>
        <v>47.269999999999996</v>
      </c>
      <c r="G45" s="11">
        <f t="shared" si="1"/>
        <v>0.3758300264550265</v>
      </c>
      <c r="H45" s="11">
        <f t="shared" si="1"/>
        <v>0.49707024097267999</v>
      </c>
      <c r="I45" s="12"/>
      <c r="K45" s="29"/>
    </row>
    <row r="46" spans="1:11" x14ac:dyDescent="0.4">
      <c r="A46" s="58" t="s">
        <v>109</v>
      </c>
      <c r="C46" t="s">
        <v>180</v>
      </c>
      <c r="F46" s="1"/>
      <c r="G46" s="11"/>
      <c r="H46" s="11"/>
      <c r="I46" s="2" t="s">
        <v>112</v>
      </c>
      <c r="K46" s="29"/>
    </row>
    <row r="47" spans="1:11" x14ac:dyDescent="0.4">
      <c r="A47" s="30" t="s">
        <v>61</v>
      </c>
      <c r="D47">
        <v>3.2</v>
      </c>
      <c r="F47" s="1">
        <f>SUM($D$17:D47)</f>
        <v>50.47</v>
      </c>
      <c r="G47" s="11">
        <f t="shared" si="1"/>
        <v>0.37900462962962966</v>
      </c>
      <c r="H47" s="11">
        <f t="shared" si="1"/>
        <v>0.50307624697868603</v>
      </c>
      <c r="I47" s="12"/>
      <c r="J47" s="1" t="s">
        <v>5</v>
      </c>
      <c r="K47" s="29">
        <f>F47</f>
        <v>50.47</v>
      </c>
    </row>
    <row r="48" spans="1:11" x14ac:dyDescent="0.4">
      <c r="A48" s="30" t="s">
        <v>62</v>
      </c>
      <c r="D48">
        <v>3.3</v>
      </c>
      <c r="F48" s="1">
        <f>SUM($D$17:D48)</f>
        <v>53.769999999999996</v>
      </c>
      <c r="G48" s="11">
        <f t="shared" si="1"/>
        <v>0.38227843915343918</v>
      </c>
      <c r="H48" s="11">
        <f t="shared" si="1"/>
        <v>0.50926994067237974</v>
      </c>
      <c r="I48" s="12"/>
      <c r="K48" s="29"/>
    </row>
    <row r="49" spans="1:11" x14ac:dyDescent="0.4">
      <c r="A49" s="30" t="s">
        <v>4</v>
      </c>
      <c r="D49">
        <v>2.27</v>
      </c>
      <c r="F49" s="1">
        <f>SUM($D$17:D49)</f>
        <v>56.04</v>
      </c>
      <c r="G49" s="11">
        <f t="shared" si="1"/>
        <v>0.38453042328042331</v>
      </c>
      <c r="H49" s="11">
        <f t="shared" si="1"/>
        <v>0.5135304511828902</v>
      </c>
      <c r="I49" s="12"/>
      <c r="K49" s="29"/>
    </row>
    <row r="50" spans="1:11" ht="16.8" customHeight="1" x14ac:dyDescent="0.4">
      <c r="A50" s="30" t="s">
        <v>63</v>
      </c>
      <c r="D50">
        <v>2.7</v>
      </c>
      <c r="F50" s="1">
        <f>SUM($D$17:D50)</f>
        <v>58.74</v>
      </c>
      <c r="G50" s="11">
        <f t="shared" si="1"/>
        <v>0.38720899470899472</v>
      </c>
      <c r="H50" s="11">
        <f t="shared" si="1"/>
        <v>0.51859801875045775</v>
      </c>
      <c r="I50" s="12"/>
      <c r="J50" s="1" t="s">
        <v>22</v>
      </c>
      <c r="K50" s="29">
        <f>F50-F42</f>
        <v>19.750000000000007</v>
      </c>
    </row>
    <row r="51" spans="1:11" ht="16.8" customHeight="1" x14ac:dyDescent="0.4">
      <c r="A51" s="58" t="s">
        <v>118</v>
      </c>
      <c r="C51" t="s">
        <v>119</v>
      </c>
      <c r="F51" s="1"/>
      <c r="G51" s="11"/>
      <c r="H51" s="11"/>
      <c r="I51" s="2" t="s">
        <v>113</v>
      </c>
      <c r="K51" s="29"/>
    </row>
    <row r="52" spans="1:11" ht="18" thickBot="1" x14ac:dyDescent="0.45">
      <c r="A52" s="33" t="s">
        <v>53</v>
      </c>
      <c r="B52" s="34" t="s">
        <v>9</v>
      </c>
      <c r="C52" s="34">
        <v>5</v>
      </c>
      <c r="D52" s="34">
        <v>3.8</v>
      </c>
      <c r="E52" s="41">
        <f>SUM(D36:D52)</f>
        <v>39.46</v>
      </c>
      <c r="F52" s="35">
        <f>SUM($D$17:D52)</f>
        <v>62.54</v>
      </c>
      <c r="G52" s="36">
        <f t="shared" si="1"/>
        <v>0.39097883597883598</v>
      </c>
      <c r="H52" s="36">
        <f t="shared" si="1"/>
        <v>0.5257301508825899</v>
      </c>
      <c r="I52" s="37"/>
      <c r="J52" s="35"/>
      <c r="K52" s="38"/>
    </row>
    <row r="53" spans="1:11" ht="18" thickBot="1" x14ac:dyDescent="0.45">
      <c r="F53" s="1"/>
      <c r="G53" s="4"/>
      <c r="H53" s="4"/>
    </row>
    <row r="54" spans="1:11" x14ac:dyDescent="0.4">
      <c r="A54" s="23" t="s">
        <v>4</v>
      </c>
      <c r="B54" s="24"/>
      <c r="C54" s="24"/>
      <c r="D54" s="24">
        <v>6.52</v>
      </c>
      <c r="E54" s="25"/>
      <c r="F54" s="25">
        <f>SUM($D$17:D54)</f>
        <v>69.06</v>
      </c>
      <c r="G54" s="26">
        <f t="shared" si="1"/>
        <v>0.39744708994708999</v>
      </c>
      <c r="H54" s="26">
        <f t="shared" si="1"/>
        <v>0.53796738811982714</v>
      </c>
      <c r="I54" s="27"/>
      <c r="J54" s="25"/>
      <c r="K54" s="28"/>
    </row>
    <row r="55" spans="1:11" x14ac:dyDescent="0.4">
      <c r="A55" s="30" t="s">
        <v>56</v>
      </c>
      <c r="D55">
        <v>0.4</v>
      </c>
      <c r="F55" s="1">
        <f>SUM($D$17:D55)</f>
        <v>69.460000000000008</v>
      </c>
      <c r="G55" s="11">
        <f t="shared" si="1"/>
        <v>0.39784391534391539</v>
      </c>
      <c r="H55" s="11">
        <f t="shared" si="1"/>
        <v>0.53871813887057796</v>
      </c>
      <c r="I55" s="12"/>
      <c r="K55" s="29"/>
    </row>
    <row r="56" spans="1:11" x14ac:dyDescent="0.4">
      <c r="A56" s="12" t="s">
        <v>92</v>
      </c>
      <c r="C56" t="s">
        <v>83</v>
      </c>
      <c r="F56" s="1"/>
      <c r="G56" s="11"/>
      <c r="H56" s="11"/>
      <c r="I56" s="2" t="s">
        <v>114</v>
      </c>
      <c r="K56" s="29"/>
    </row>
    <row r="57" spans="1:11" x14ac:dyDescent="0.4">
      <c r="A57" s="30" t="s">
        <v>57</v>
      </c>
      <c r="B57" t="s">
        <v>7</v>
      </c>
      <c r="C57">
        <v>6</v>
      </c>
      <c r="D57">
        <v>4.03</v>
      </c>
      <c r="F57" s="1">
        <f>SUM($D$17:D57)</f>
        <v>73.490000000000009</v>
      </c>
      <c r="G57" s="11">
        <f t="shared" si="1"/>
        <v>0.40184193121693124</v>
      </c>
      <c r="H57" s="11">
        <f t="shared" si="1"/>
        <v>0.54628195268439173</v>
      </c>
      <c r="I57" s="12"/>
      <c r="K57" s="29"/>
    </row>
    <row r="58" spans="1:11" x14ac:dyDescent="0.4">
      <c r="A58" s="30" t="s">
        <v>58</v>
      </c>
      <c r="D58">
        <v>2</v>
      </c>
      <c r="F58" s="1">
        <f>SUM($D$17:D58)</f>
        <v>75.490000000000009</v>
      </c>
      <c r="G58" s="11">
        <f t="shared" si="1"/>
        <v>0.40382605820105821</v>
      </c>
      <c r="H58" s="11">
        <f t="shared" si="1"/>
        <v>0.55003570643814548</v>
      </c>
      <c r="I58" s="12"/>
      <c r="K58" s="31"/>
    </row>
    <row r="59" spans="1:11" x14ac:dyDescent="0.4">
      <c r="A59" s="30" t="s">
        <v>4</v>
      </c>
      <c r="D59">
        <v>2.4700000000000002</v>
      </c>
      <c r="F59" s="1">
        <f>SUM($D$17:D59)</f>
        <v>77.960000000000008</v>
      </c>
      <c r="G59" s="11">
        <f t="shared" si="1"/>
        <v>0.40627645502645504</v>
      </c>
      <c r="H59" s="11">
        <f t="shared" si="1"/>
        <v>0.5546715923240314</v>
      </c>
      <c r="I59" s="12"/>
      <c r="K59" s="29"/>
    </row>
    <row r="60" spans="1:11" x14ac:dyDescent="0.4">
      <c r="A60" s="30" t="s">
        <v>59</v>
      </c>
      <c r="D60">
        <v>0.49</v>
      </c>
      <c r="F60" s="1">
        <f>SUM($D$17:D60)</f>
        <v>78.45</v>
      </c>
      <c r="G60" s="11">
        <f t="shared" si="1"/>
        <v>0.40676256613756617</v>
      </c>
      <c r="H60" s="11">
        <f t="shared" si="1"/>
        <v>0.55559126199370101</v>
      </c>
      <c r="I60" s="12"/>
      <c r="J60" s="1" t="s">
        <v>21</v>
      </c>
      <c r="K60" s="32">
        <f>F60-F50</f>
        <v>19.71</v>
      </c>
    </row>
    <row r="61" spans="1:11" x14ac:dyDescent="0.4">
      <c r="A61" s="12" t="s">
        <v>121</v>
      </c>
      <c r="C61" t="s">
        <v>181</v>
      </c>
      <c r="F61" s="1"/>
      <c r="G61" s="11"/>
      <c r="H61" s="11"/>
      <c r="I61" s="2" t="s">
        <v>115</v>
      </c>
      <c r="K61" s="32"/>
    </row>
    <row r="62" spans="1:11" x14ac:dyDescent="0.4">
      <c r="A62" s="30" t="s">
        <v>80</v>
      </c>
      <c r="D62">
        <v>5.08</v>
      </c>
      <c r="F62" s="1">
        <f>SUM($D$17:D62)</f>
        <v>83.53</v>
      </c>
      <c r="G62" s="11">
        <f t="shared" si="1"/>
        <v>0.41180224867724868</v>
      </c>
      <c r="H62" s="11">
        <f t="shared" si="1"/>
        <v>0.56512579652823558</v>
      </c>
      <c r="I62" s="12"/>
      <c r="K62" s="32"/>
    </row>
    <row r="63" spans="1:11" x14ac:dyDescent="0.4">
      <c r="A63" s="30" t="s">
        <v>60</v>
      </c>
      <c r="B63" t="s">
        <v>8</v>
      </c>
      <c r="C63">
        <v>7</v>
      </c>
      <c r="D63">
        <v>3.2</v>
      </c>
      <c r="F63" s="1">
        <f>SUM($D$17:D63)</f>
        <v>86.73</v>
      </c>
      <c r="G63" s="11">
        <f t="shared" ref="G63:H83" si="2">G$17+($F63/G$15/24)</f>
        <v>0.4149768518518519</v>
      </c>
      <c r="H63" s="11">
        <f t="shared" si="2"/>
        <v>0.57113180253424156</v>
      </c>
      <c r="I63" s="39">
        <v>0.57291666666666663</v>
      </c>
      <c r="J63" s="40" t="s">
        <v>28</v>
      </c>
    </row>
    <row r="64" spans="1:11" x14ac:dyDescent="0.4">
      <c r="A64" s="12" t="s">
        <v>120</v>
      </c>
      <c r="C64" t="s">
        <v>84</v>
      </c>
      <c r="F64" s="1"/>
      <c r="G64" s="11"/>
      <c r="H64" s="11"/>
      <c r="I64" s="2" t="s">
        <v>116</v>
      </c>
      <c r="J64" s="3"/>
      <c r="K64" s="55"/>
    </row>
    <row r="65" spans="1:11" x14ac:dyDescent="0.4">
      <c r="A65" s="30" t="s">
        <v>61</v>
      </c>
      <c r="D65">
        <v>3.2</v>
      </c>
      <c r="F65" s="1">
        <f>SUM($D$17:D65)</f>
        <v>89.93</v>
      </c>
      <c r="G65" s="11">
        <f t="shared" si="2"/>
        <v>0.41815145502645507</v>
      </c>
      <c r="H65" s="11">
        <f t="shared" si="2"/>
        <v>0.57713780854024754</v>
      </c>
      <c r="I65" s="12"/>
      <c r="J65" s="1" t="s">
        <v>5</v>
      </c>
      <c r="K65" s="29">
        <f>F65</f>
        <v>89.93</v>
      </c>
    </row>
    <row r="66" spans="1:11" x14ac:dyDescent="0.4">
      <c r="A66" s="30" t="s">
        <v>62</v>
      </c>
      <c r="D66">
        <v>3.3</v>
      </c>
      <c r="F66" s="1">
        <f>SUM($D$17:D66)</f>
        <v>93.23</v>
      </c>
      <c r="G66" s="11">
        <f t="shared" si="2"/>
        <v>0.42142526455026458</v>
      </c>
      <c r="H66" s="11">
        <f t="shared" si="2"/>
        <v>0.58333150223394126</v>
      </c>
      <c r="I66" s="12"/>
      <c r="K66" s="29"/>
    </row>
    <row r="67" spans="1:11" x14ac:dyDescent="0.4">
      <c r="A67" s="30" t="s">
        <v>4</v>
      </c>
      <c r="D67">
        <v>2.27</v>
      </c>
      <c r="F67" s="1">
        <f>SUM($D$17:D67)</f>
        <v>95.5</v>
      </c>
      <c r="G67" s="11">
        <f t="shared" si="2"/>
        <v>0.42367724867724871</v>
      </c>
      <c r="H67" s="69">
        <f t="shared" si="2"/>
        <v>0.58759201274445183</v>
      </c>
      <c r="I67" s="12"/>
      <c r="K67" s="29"/>
    </row>
    <row r="68" spans="1:11" x14ac:dyDescent="0.4">
      <c r="A68" s="30" t="s">
        <v>63</v>
      </c>
      <c r="D68">
        <v>2.7</v>
      </c>
      <c r="F68" s="1">
        <f>SUM($D$17:D68)</f>
        <v>98.2</v>
      </c>
      <c r="G68" s="11">
        <f t="shared" si="2"/>
        <v>0.42635582010582013</v>
      </c>
      <c r="H68" s="11">
        <f t="shared" si="2"/>
        <v>0.59265958031201937</v>
      </c>
      <c r="I68" s="12"/>
      <c r="J68" s="1" t="s">
        <v>22</v>
      </c>
      <c r="K68" s="29">
        <f>F68-F60</f>
        <v>19.75</v>
      </c>
    </row>
    <row r="69" spans="1:11" x14ac:dyDescent="0.4">
      <c r="A69" s="12" t="s">
        <v>122</v>
      </c>
      <c r="C69" t="s">
        <v>85</v>
      </c>
      <c r="F69" s="1"/>
      <c r="G69" s="4"/>
      <c r="H69" s="4"/>
      <c r="I69" s="2" t="s">
        <v>117</v>
      </c>
    </row>
    <row r="70" spans="1:11" ht="18" thickBot="1" x14ac:dyDescent="0.45">
      <c r="A70" s="33" t="s">
        <v>53</v>
      </c>
      <c r="B70" s="34"/>
      <c r="C70" s="34"/>
      <c r="D70" s="34">
        <v>3.8</v>
      </c>
      <c r="E70" s="41">
        <f>SUM(D54:D70)</f>
        <v>39.46</v>
      </c>
      <c r="F70" s="35">
        <f>SUM($D$17:D70)</f>
        <v>102</v>
      </c>
      <c r="G70" s="36">
        <f t="shared" si="2"/>
        <v>0.43012566137566138</v>
      </c>
      <c r="H70" s="70">
        <f t="shared" si="2"/>
        <v>0.59979171244415153</v>
      </c>
      <c r="I70" s="37"/>
      <c r="J70" s="35"/>
      <c r="K70" s="38"/>
    </row>
    <row r="71" spans="1:11" ht="18" thickBot="1" x14ac:dyDescent="0.45">
      <c r="A71" s="30"/>
      <c r="E71" s="56"/>
      <c r="F71" s="1"/>
      <c r="G71" s="11"/>
      <c r="H71" s="11"/>
      <c r="I71" s="12"/>
      <c r="K71" s="29"/>
    </row>
    <row r="72" spans="1:11" x14ac:dyDescent="0.4">
      <c r="A72" s="23" t="s">
        <v>51</v>
      </c>
      <c r="B72" s="43"/>
      <c r="C72" s="43"/>
      <c r="D72" s="43">
        <v>1.06</v>
      </c>
      <c r="E72" s="44"/>
      <c r="F72" s="25">
        <f>SUM($D$17:D72)</f>
        <v>103.06</v>
      </c>
      <c r="G72" s="26">
        <f t="shared" si="2"/>
        <v>0.43117724867724871</v>
      </c>
      <c r="H72" s="26">
        <f t="shared" si="2"/>
        <v>0.60178120193364093</v>
      </c>
      <c r="I72" s="27"/>
      <c r="J72" s="25"/>
      <c r="K72" s="28"/>
    </row>
    <row r="73" spans="1:11" x14ac:dyDescent="0.4">
      <c r="A73" s="30" t="s">
        <v>52</v>
      </c>
      <c r="B73" s="45" t="s">
        <v>6</v>
      </c>
      <c r="C73" s="45">
        <v>8</v>
      </c>
      <c r="D73" s="45">
        <v>0.26</v>
      </c>
      <c r="E73" s="46"/>
      <c r="F73" s="1">
        <f>SUM($D$17:D73)</f>
        <v>103.32000000000001</v>
      </c>
      <c r="G73" s="11">
        <f t="shared" si="2"/>
        <v>0.4314351851851852</v>
      </c>
      <c r="H73" s="11">
        <f t="shared" si="2"/>
        <v>0.60226918992162903</v>
      </c>
      <c r="I73" s="12"/>
      <c r="K73" s="29"/>
    </row>
    <row r="74" spans="1:11" x14ac:dyDescent="0.4">
      <c r="A74" s="30" t="s">
        <v>51</v>
      </c>
      <c r="D74">
        <v>0.26</v>
      </c>
      <c r="F74" s="1">
        <f>SUM($D$17:D74)</f>
        <v>103.58000000000001</v>
      </c>
      <c r="G74" s="11">
        <f t="shared" si="2"/>
        <v>0.43169312169312174</v>
      </c>
      <c r="H74" s="11">
        <f t="shared" si="2"/>
        <v>0.60275717790961703</v>
      </c>
      <c r="I74" s="12"/>
      <c r="K74" s="29"/>
    </row>
    <row r="75" spans="1:11" x14ac:dyDescent="0.4">
      <c r="A75" s="30" t="s">
        <v>173</v>
      </c>
      <c r="D75">
        <v>2.1</v>
      </c>
      <c r="F75" s="1">
        <f>SUM($D$17:D75)</f>
        <v>105.68</v>
      </c>
      <c r="G75" s="11">
        <f>G$17+($F75/G$15/24)</f>
        <v>0.43377645502645507</v>
      </c>
      <c r="H75" s="11">
        <f>H$17+($F75/H$15/24)</f>
        <v>0.6066986193510584</v>
      </c>
      <c r="I75" s="12"/>
      <c r="K75" s="29"/>
    </row>
    <row r="76" spans="1:11" x14ac:dyDescent="0.4">
      <c r="A76" s="50" t="s">
        <v>64</v>
      </c>
      <c r="B76" t="s">
        <v>10</v>
      </c>
      <c r="C76">
        <v>9</v>
      </c>
      <c r="D76">
        <v>2.2000000000000002</v>
      </c>
      <c r="F76" s="1">
        <f>SUM($D$17:D76)</f>
        <v>107.88000000000001</v>
      </c>
      <c r="G76" s="69">
        <f>G$17+($F76/G$15/24)</f>
        <v>0.43595899470899474</v>
      </c>
      <c r="H76" s="11">
        <f>H$17+($F76/H$15/24)</f>
        <v>0.6108277484801875</v>
      </c>
      <c r="I76" s="12"/>
      <c r="K76" s="29"/>
    </row>
    <row r="77" spans="1:11" ht="16.8" customHeight="1" x14ac:dyDescent="0.4">
      <c r="A77" s="12" t="s">
        <v>93</v>
      </c>
      <c r="C77" t="s">
        <v>175</v>
      </c>
      <c r="F77" s="1"/>
      <c r="G77" s="11"/>
      <c r="H77" s="11"/>
      <c r="I77" s="2" t="s">
        <v>123</v>
      </c>
      <c r="K77" s="29"/>
    </row>
    <row r="78" spans="1:11" ht="16.8" customHeight="1" x14ac:dyDescent="0.4">
      <c r="A78" s="12" t="s">
        <v>173</v>
      </c>
      <c r="D78">
        <v>2.2000000000000002</v>
      </c>
      <c r="F78" s="1">
        <f>SUM($D$17:D78)</f>
        <v>110.08000000000001</v>
      </c>
      <c r="G78" s="11">
        <f t="shared" si="2"/>
        <v>0.43814153439153442</v>
      </c>
      <c r="H78" s="11">
        <f t="shared" si="2"/>
        <v>0.61495687760931672</v>
      </c>
      <c r="I78" s="2"/>
      <c r="K78" s="29"/>
    </row>
    <row r="79" spans="1:11" x14ac:dyDescent="0.4">
      <c r="A79" s="30" t="s">
        <v>65</v>
      </c>
      <c r="D79">
        <v>2.1</v>
      </c>
      <c r="F79" s="1">
        <f>SUM($D$17:D79)</f>
        <v>112.18</v>
      </c>
      <c r="G79" s="11">
        <f t="shared" si="2"/>
        <v>0.44022486772486774</v>
      </c>
      <c r="H79" s="11">
        <f t="shared" si="2"/>
        <v>0.61889831905075809</v>
      </c>
      <c r="I79" s="12"/>
      <c r="K79" s="29"/>
    </row>
    <row r="80" spans="1:11" x14ac:dyDescent="0.4">
      <c r="A80" t="s">
        <v>176</v>
      </c>
      <c r="D80">
        <v>3.4</v>
      </c>
      <c r="F80" s="1"/>
      <c r="G80" s="11"/>
      <c r="H80" s="11"/>
      <c r="I80" s="12"/>
      <c r="K80" s="29"/>
    </row>
    <row r="81" spans="1:11" x14ac:dyDescent="0.4">
      <c r="A81" s="30" t="s">
        <v>49</v>
      </c>
      <c r="D81">
        <v>1.2</v>
      </c>
      <c r="F81" s="1">
        <f>SUM($D$17:D81)</f>
        <v>116.78000000000002</v>
      </c>
      <c r="G81" s="11">
        <f t="shared" si="2"/>
        <v>0.44478835978835984</v>
      </c>
      <c r="H81" s="11">
        <f t="shared" si="2"/>
        <v>0.62753195268439177</v>
      </c>
      <c r="I81" s="12"/>
      <c r="K81" s="29"/>
    </row>
    <row r="82" spans="1:11" x14ac:dyDescent="0.4">
      <c r="A82" s="12" t="s">
        <v>94</v>
      </c>
      <c r="C82" t="s">
        <v>125</v>
      </c>
      <c r="F82" s="1"/>
      <c r="G82" s="11"/>
      <c r="H82" s="11"/>
      <c r="I82" s="2" t="s">
        <v>124</v>
      </c>
      <c r="K82" s="29"/>
    </row>
    <row r="83" spans="1:11" ht="18" thickBot="1" x14ac:dyDescent="0.45">
      <c r="A83" s="59" t="s">
        <v>66</v>
      </c>
      <c r="B83" s="34" t="s">
        <v>33</v>
      </c>
      <c r="C83" s="34">
        <v>10</v>
      </c>
      <c r="D83" s="34">
        <v>3.4</v>
      </c>
      <c r="E83" s="41">
        <f>SUM(D72:D83)</f>
        <v>18.18</v>
      </c>
      <c r="F83" s="35">
        <f>SUM($D$17:D83)</f>
        <v>120.18000000000002</v>
      </c>
      <c r="G83" s="70">
        <f t="shared" si="2"/>
        <v>0.4481613756613757</v>
      </c>
      <c r="H83" s="36">
        <f t="shared" si="2"/>
        <v>0.6339133340657731</v>
      </c>
      <c r="I83" s="37"/>
      <c r="J83" s="35"/>
      <c r="K83" s="38"/>
    </row>
    <row r="84" spans="1:11" ht="18" thickBot="1" x14ac:dyDescent="0.45">
      <c r="F84" s="1"/>
      <c r="G84" s="4"/>
      <c r="H84" s="4"/>
    </row>
    <row r="85" spans="1:11" x14ac:dyDescent="0.4">
      <c r="A85" s="23" t="s">
        <v>20</v>
      </c>
      <c r="B85" s="24"/>
      <c r="C85" s="24"/>
      <c r="D85" s="24">
        <v>1.7</v>
      </c>
      <c r="E85" s="25"/>
      <c r="F85" s="25">
        <f>SUM($D$17:D85)</f>
        <v>121.88000000000002</v>
      </c>
      <c r="G85" s="26">
        <f t="shared" ref="G85:H112" si="3">G$12+($F85/G$15/24)</f>
        <v>0.44984788359788364</v>
      </c>
      <c r="H85" s="26">
        <f t="shared" si="3"/>
        <v>0.63710402475646388</v>
      </c>
      <c r="I85" s="27"/>
      <c r="J85" s="25" t="s">
        <v>20</v>
      </c>
      <c r="K85" s="47">
        <f>F85-F68</f>
        <v>23.680000000000021</v>
      </c>
    </row>
    <row r="86" spans="1:11" x14ac:dyDescent="0.4">
      <c r="A86" s="30" t="s">
        <v>49</v>
      </c>
      <c r="D86">
        <v>1.5</v>
      </c>
      <c r="F86" s="1">
        <f>SUM($D$17:D86)</f>
        <v>123.38000000000002</v>
      </c>
      <c r="G86" s="11">
        <f t="shared" si="3"/>
        <v>0.45133597883597887</v>
      </c>
      <c r="H86" s="11">
        <f t="shared" si="3"/>
        <v>0.6399193400717792</v>
      </c>
      <c r="I86" s="12"/>
      <c r="K86" s="29"/>
    </row>
    <row r="87" spans="1:11" x14ac:dyDescent="0.4">
      <c r="A87" s="30" t="s">
        <v>176</v>
      </c>
      <c r="D87">
        <v>1.2</v>
      </c>
      <c r="F87" s="1">
        <f>SUM($D$17:D87)</f>
        <v>124.58000000000003</v>
      </c>
      <c r="G87" s="11">
        <f t="shared" si="3"/>
        <v>0.45252645502645511</v>
      </c>
      <c r="H87" s="11">
        <f t="shared" si="3"/>
        <v>0.64217159232403143</v>
      </c>
      <c r="I87" s="12"/>
      <c r="K87" s="29"/>
    </row>
    <row r="88" spans="1:11" x14ac:dyDescent="0.4">
      <c r="A88" s="30" t="s">
        <v>50</v>
      </c>
      <c r="D88">
        <v>1.5</v>
      </c>
      <c r="F88" s="1">
        <f>SUM($D$17:D88)</f>
        <v>126.08000000000003</v>
      </c>
      <c r="G88" s="11">
        <f t="shared" si="3"/>
        <v>0.45401455026455029</v>
      </c>
      <c r="H88" s="11">
        <f t="shared" si="3"/>
        <v>0.64498690763934674</v>
      </c>
      <c r="I88" s="12"/>
      <c r="K88" s="29"/>
    </row>
    <row r="89" spans="1:11" x14ac:dyDescent="0.4">
      <c r="A89" s="30" t="s">
        <v>65</v>
      </c>
      <c r="D89">
        <v>1.9</v>
      </c>
      <c r="F89" s="1">
        <f>SUM($D$17:D89)</f>
        <v>127.98000000000003</v>
      </c>
      <c r="G89" s="11">
        <f t="shared" si="3"/>
        <v>0.45589947089947097</v>
      </c>
      <c r="H89" s="11">
        <f t="shared" si="3"/>
        <v>0.64855297370541276</v>
      </c>
      <c r="I89" s="12"/>
      <c r="K89" s="29"/>
    </row>
    <row r="90" spans="1:11" x14ac:dyDescent="0.4">
      <c r="A90" s="12" t="s">
        <v>95</v>
      </c>
      <c r="C90" t="s">
        <v>174</v>
      </c>
      <c r="F90" s="1"/>
      <c r="G90" s="11"/>
      <c r="H90" s="11"/>
      <c r="I90" s="2" t="s">
        <v>126</v>
      </c>
      <c r="K90" s="29"/>
    </row>
    <row r="91" spans="1:11" x14ac:dyDescent="0.4">
      <c r="A91" s="30" t="s">
        <v>173</v>
      </c>
      <c r="D91">
        <v>2.1</v>
      </c>
      <c r="F91" s="1">
        <f>SUM($D$17:D91)</f>
        <v>130.08000000000004</v>
      </c>
      <c r="G91" s="11">
        <f t="shared" si="3"/>
        <v>0.45798280423280435</v>
      </c>
      <c r="H91" s="11">
        <f t="shared" si="3"/>
        <v>0.65249441514685425</v>
      </c>
      <c r="I91" s="12"/>
      <c r="K91" s="29"/>
    </row>
    <row r="92" spans="1:11" x14ac:dyDescent="0.4">
      <c r="A92" s="50" t="s">
        <v>64</v>
      </c>
      <c r="B92" t="s">
        <v>10</v>
      </c>
      <c r="C92">
        <v>11</v>
      </c>
      <c r="D92">
        <v>2.2000000000000002</v>
      </c>
      <c r="F92" s="1">
        <f>SUM($D$17:D92)</f>
        <v>132.28000000000003</v>
      </c>
      <c r="G92" s="11">
        <f>G$17+($F92/G$15/24)</f>
        <v>0.46016534391534397</v>
      </c>
      <c r="H92" s="11">
        <f>H$17+($F92/H$15/24)</f>
        <v>0.65662354427598335</v>
      </c>
      <c r="I92" s="12"/>
      <c r="K92" s="29"/>
    </row>
    <row r="93" spans="1:11" x14ac:dyDescent="0.4">
      <c r="A93" s="58" t="s">
        <v>173</v>
      </c>
      <c r="D93">
        <v>2.2000000000000002</v>
      </c>
      <c r="F93" s="1"/>
      <c r="G93" s="11"/>
      <c r="H93" s="11"/>
      <c r="I93" s="12"/>
      <c r="K93" s="29"/>
    </row>
    <row r="94" spans="1:11" x14ac:dyDescent="0.4">
      <c r="A94" s="30" t="s">
        <v>65</v>
      </c>
      <c r="D94">
        <v>2.1</v>
      </c>
      <c r="F94" s="1">
        <f>SUM($D$17:D94)</f>
        <v>136.58000000000001</v>
      </c>
      <c r="G94" s="11">
        <f t="shared" si="3"/>
        <v>0.46443121693121697</v>
      </c>
      <c r="H94" s="11">
        <f t="shared" si="3"/>
        <v>0.66469411484655394</v>
      </c>
      <c r="I94" s="12"/>
      <c r="K94" s="29"/>
    </row>
    <row r="95" spans="1:11" x14ac:dyDescent="0.4">
      <c r="A95" t="s">
        <v>176</v>
      </c>
      <c r="D95">
        <v>3.4</v>
      </c>
      <c r="F95" s="1">
        <f>SUM($D$17:D95)</f>
        <v>139.98000000000002</v>
      </c>
      <c r="G95" s="11">
        <f t="shared" si="3"/>
        <v>0.46780423280423289</v>
      </c>
      <c r="H95" s="11">
        <f t="shared" si="3"/>
        <v>0.67107549622793528</v>
      </c>
      <c r="I95" s="12"/>
      <c r="K95" s="29"/>
    </row>
    <row r="96" spans="1:11" x14ac:dyDescent="0.4">
      <c r="A96" s="12" t="s">
        <v>96</v>
      </c>
      <c r="C96" t="s">
        <v>127</v>
      </c>
      <c r="F96" s="1"/>
      <c r="G96" s="11"/>
      <c r="H96" s="11"/>
      <c r="I96" s="2" t="s">
        <v>128</v>
      </c>
      <c r="K96" s="29"/>
    </row>
    <row r="97" spans="1:11" x14ac:dyDescent="0.4">
      <c r="A97" s="30" t="s">
        <v>49</v>
      </c>
      <c r="D97">
        <v>1.2</v>
      </c>
      <c r="F97" s="1">
        <f>SUM($D$17:D97)</f>
        <v>141.18</v>
      </c>
      <c r="G97" s="11">
        <f t="shared" si="3"/>
        <v>0.46899470899470908</v>
      </c>
      <c r="H97" s="11">
        <f t="shared" si="3"/>
        <v>0.67332774848018762</v>
      </c>
      <c r="I97" s="12"/>
      <c r="K97" s="29"/>
    </row>
    <row r="98" spans="1:11" ht="18" thickBot="1" x14ac:dyDescent="0.45">
      <c r="A98" s="59" t="s">
        <v>66</v>
      </c>
      <c r="B98" s="34" t="s">
        <v>33</v>
      </c>
      <c r="C98" s="34">
        <v>12</v>
      </c>
      <c r="D98" s="34">
        <v>3.4</v>
      </c>
      <c r="E98" s="41">
        <f>SUM(D85:D98)</f>
        <v>24.4</v>
      </c>
      <c r="F98" s="48">
        <f>SUM($D$17:D98)</f>
        <v>144.58000000000001</v>
      </c>
      <c r="G98" s="36">
        <f t="shared" si="3"/>
        <v>0.47236772486772494</v>
      </c>
      <c r="H98" s="36">
        <f t="shared" si="3"/>
        <v>0.67970912986156895</v>
      </c>
      <c r="I98" s="37"/>
      <c r="J98" s="35"/>
      <c r="K98" s="38"/>
    </row>
    <row r="99" spans="1:11" ht="16.8" customHeight="1" thickBot="1" x14ac:dyDescent="0.45">
      <c r="A99" s="2"/>
      <c r="F99" s="1"/>
      <c r="G99" s="11"/>
      <c r="H99" s="11"/>
      <c r="I99" s="12"/>
    </row>
    <row r="100" spans="1:11" x14ac:dyDescent="0.4">
      <c r="A100" s="23" t="s">
        <v>20</v>
      </c>
      <c r="B100" s="24"/>
      <c r="C100" s="24"/>
      <c r="D100" s="24">
        <v>1.7</v>
      </c>
      <c r="E100" s="25"/>
      <c r="F100" s="25">
        <f>SUM($D$17:D100)</f>
        <v>146.28</v>
      </c>
      <c r="G100" s="26">
        <f t="shared" si="3"/>
        <v>0.47405423280423287</v>
      </c>
      <c r="H100" s="26">
        <f t="shared" si="3"/>
        <v>0.68289982055225962</v>
      </c>
      <c r="I100" s="27"/>
      <c r="J100" s="25" t="s">
        <v>20</v>
      </c>
      <c r="K100" s="28">
        <f>F100-F85</f>
        <v>24.399999999999977</v>
      </c>
    </row>
    <row r="101" spans="1:11" x14ac:dyDescent="0.4">
      <c r="A101" s="30" t="s">
        <v>49</v>
      </c>
      <c r="D101">
        <v>1.5</v>
      </c>
      <c r="F101" s="1">
        <f>SUM($D$17:D101)</f>
        <v>147.78</v>
      </c>
      <c r="G101" s="11">
        <f t="shared" si="3"/>
        <v>0.4755423280423281</v>
      </c>
      <c r="H101" s="11">
        <f t="shared" si="3"/>
        <v>0.68571513586757493</v>
      </c>
      <c r="I101" s="12"/>
      <c r="K101" s="29"/>
    </row>
    <row r="102" spans="1:11" x14ac:dyDescent="0.4">
      <c r="A102" s="30" t="s">
        <v>176</v>
      </c>
      <c r="D102">
        <v>1.2</v>
      </c>
      <c r="F102" s="1">
        <f>SUM($D$17:D102)</f>
        <v>148.97999999999999</v>
      </c>
      <c r="G102" s="11">
        <f t="shared" si="3"/>
        <v>0.47673280423280429</v>
      </c>
      <c r="H102" s="11">
        <f t="shared" si="3"/>
        <v>0.68796738811982716</v>
      </c>
      <c r="I102" s="12"/>
      <c r="K102" s="29"/>
    </row>
    <row r="103" spans="1:11" x14ac:dyDescent="0.4">
      <c r="A103" s="12" t="s">
        <v>97</v>
      </c>
      <c r="C103" t="s">
        <v>86</v>
      </c>
      <c r="F103" s="1"/>
      <c r="G103" s="11"/>
      <c r="H103" s="11"/>
      <c r="I103" s="2" t="s">
        <v>129</v>
      </c>
      <c r="K103" s="29"/>
    </row>
    <row r="104" spans="1:11" x14ac:dyDescent="0.4">
      <c r="A104" s="30" t="s">
        <v>50</v>
      </c>
      <c r="D104">
        <v>1.5</v>
      </c>
      <c r="F104" s="1">
        <f>SUM($D$17:D104)</f>
        <v>150.47999999999999</v>
      </c>
      <c r="G104" s="11">
        <f t="shared" si="3"/>
        <v>0.47822089947089952</v>
      </c>
      <c r="H104" s="11">
        <f t="shared" si="3"/>
        <v>0.69078270343514248</v>
      </c>
      <c r="I104" s="39">
        <v>0.69444444444444442</v>
      </c>
      <c r="J104" s="40" t="s">
        <v>27</v>
      </c>
    </row>
    <row r="105" spans="1:11" x14ac:dyDescent="0.4">
      <c r="A105" s="30" t="s">
        <v>65</v>
      </c>
      <c r="D105">
        <v>1.9</v>
      </c>
      <c r="F105" s="1">
        <f>SUM($D$17:D105)</f>
        <v>152.38</v>
      </c>
      <c r="G105" s="11">
        <f t="shared" si="3"/>
        <v>0.48010582010582015</v>
      </c>
      <c r="H105" s="11">
        <f t="shared" si="3"/>
        <v>0.6943487695012085</v>
      </c>
      <c r="I105" s="12"/>
      <c r="K105" s="29"/>
    </row>
    <row r="106" spans="1:11" x14ac:dyDescent="0.4">
      <c r="A106" s="30" t="s">
        <v>173</v>
      </c>
      <c r="D106">
        <v>2.1</v>
      </c>
      <c r="F106" s="1">
        <f>SUM($D$17:D106)</f>
        <v>154.47999999999999</v>
      </c>
      <c r="G106" s="11">
        <f t="shared" si="3"/>
        <v>0.48218915343915347</v>
      </c>
      <c r="H106" s="11">
        <f t="shared" si="3"/>
        <v>0.69829021094264998</v>
      </c>
      <c r="I106" s="12"/>
      <c r="K106" s="29"/>
    </row>
    <row r="107" spans="1:11" x14ac:dyDescent="0.4">
      <c r="A107" s="50" t="s">
        <v>64</v>
      </c>
      <c r="B107" t="s">
        <v>10</v>
      </c>
      <c r="C107">
        <v>13</v>
      </c>
      <c r="D107">
        <v>2.2000000000000002</v>
      </c>
      <c r="F107" s="1">
        <f>SUM($D$17:D107)</f>
        <v>156.67999999999998</v>
      </c>
      <c r="G107" s="11">
        <f t="shared" si="3"/>
        <v>0.48437169312169315</v>
      </c>
      <c r="H107" s="11">
        <f t="shared" si="3"/>
        <v>0.70241934007177909</v>
      </c>
      <c r="I107" s="12"/>
      <c r="K107" s="29"/>
    </row>
    <row r="108" spans="1:11" x14ac:dyDescent="0.4">
      <c r="A108" s="12" t="s">
        <v>173</v>
      </c>
      <c r="D108">
        <v>2.2000000000000002</v>
      </c>
      <c r="F108" s="1">
        <f>SUM($D$17:D108)</f>
        <v>158.87999999999997</v>
      </c>
      <c r="G108" s="11">
        <f t="shared" si="3"/>
        <v>0.48655423280423282</v>
      </c>
      <c r="H108" s="11">
        <f t="shared" si="3"/>
        <v>0.70654846920090819</v>
      </c>
      <c r="I108" s="12"/>
      <c r="K108" s="29"/>
    </row>
    <row r="109" spans="1:11" x14ac:dyDescent="0.4">
      <c r="A109" s="12" t="s">
        <v>98</v>
      </c>
      <c r="C109" t="s">
        <v>177</v>
      </c>
      <c r="F109" s="1"/>
      <c r="G109" s="11"/>
      <c r="H109" s="11"/>
      <c r="I109" s="2" t="s">
        <v>130</v>
      </c>
      <c r="K109" s="29"/>
    </row>
    <row r="110" spans="1:11" x14ac:dyDescent="0.4">
      <c r="A110" s="30" t="s">
        <v>65</v>
      </c>
      <c r="D110">
        <v>2.1</v>
      </c>
      <c r="F110" s="1">
        <f>SUM($D$17:D110)</f>
        <v>160.97999999999996</v>
      </c>
      <c r="G110" s="11">
        <f t="shared" si="3"/>
        <v>0.48863756613756615</v>
      </c>
      <c r="H110" s="11">
        <f t="shared" si="3"/>
        <v>0.71048991064234968</v>
      </c>
      <c r="I110" s="12"/>
      <c r="K110" s="29"/>
    </row>
    <row r="111" spans="1:11" x14ac:dyDescent="0.4">
      <c r="A111" s="30" t="s">
        <v>176</v>
      </c>
      <c r="D111">
        <v>3.4</v>
      </c>
      <c r="F111" s="1">
        <f>SUM($D$17:D111)</f>
        <v>164.37999999999997</v>
      </c>
      <c r="G111" s="11">
        <f t="shared" si="3"/>
        <v>0.49201058201058201</v>
      </c>
      <c r="H111" s="11">
        <f t="shared" si="3"/>
        <v>0.71687129202373101</v>
      </c>
      <c r="I111" s="12"/>
      <c r="K111" s="29"/>
    </row>
    <row r="112" spans="1:11" x14ac:dyDescent="0.4">
      <c r="A112" s="30" t="s">
        <v>49</v>
      </c>
      <c r="D112">
        <v>1.2</v>
      </c>
      <c r="F112" s="1">
        <f>SUM($D$17:D112)</f>
        <v>165.57999999999996</v>
      </c>
      <c r="G112" s="11">
        <f t="shared" si="3"/>
        <v>0.4932010582010582</v>
      </c>
      <c r="H112" s="11">
        <f t="shared" si="3"/>
        <v>0.71912354427598324</v>
      </c>
      <c r="I112" s="12"/>
      <c r="K112" s="29"/>
    </row>
    <row r="113" spans="1:11" ht="18" thickBot="1" x14ac:dyDescent="0.45">
      <c r="A113" s="59" t="s">
        <v>66</v>
      </c>
      <c r="B113" s="34" t="s">
        <v>33</v>
      </c>
      <c r="C113" s="34">
        <v>14</v>
      </c>
      <c r="D113" s="34">
        <v>3.4</v>
      </c>
      <c r="E113" s="41">
        <f>SUM(D100:D113)</f>
        <v>24.4</v>
      </c>
      <c r="F113" s="48">
        <f>SUM($D$17:D113)</f>
        <v>168.97999999999996</v>
      </c>
      <c r="G113" s="36">
        <f t="shared" ref="G113:H120" si="4">G$12+($F113/G$15/24)</f>
        <v>0.49657407407407406</v>
      </c>
      <c r="H113" s="36">
        <f t="shared" si="4"/>
        <v>0.72550492565736469</v>
      </c>
      <c r="I113" s="37"/>
      <c r="J113" s="35"/>
      <c r="K113" s="38"/>
    </row>
    <row r="114" spans="1:11" ht="18" thickBot="1" x14ac:dyDescent="0.45">
      <c r="F114" s="1"/>
      <c r="G114" s="4"/>
      <c r="H114" s="4"/>
    </row>
    <row r="115" spans="1:11" x14ac:dyDescent="0.4">
      <c r="A115" s="52" t="s">
        <v>99</v>
      </c>
      <c r="B115" s="24"/>
      <c r="C115" s="24" t="s">
        <v>110</v>
      </c>
      <c r="D115" s="24"/>
      <c r="E115" s="25"/>
      <c r="F115" s="49"/>
      <c r="G115" s="26"/>
      <c r="H115" s="26"/>
      <c r="I115" s="57" t="s">
        <v>131</v>
      </c>
      <c r="J115" s="25"/>
      <c r="K115" s="28"/>
    </row>
    <row r="116" spans="1:11" x14ac:dyDescent="0.4">
      <c r="A116" s="30" t="s">
        <v>20</v>
      </c>
      <c r="D116">
        <v>1.7</v>
      </c>
      <c r="F116" s="42">
        <f>SUM($D$17:D116)</f>
        <v>170.67999999999995</v>
      </c>
      <c r="G116" s="11">
        <f t="shared" si="4"/>
        <v>0.49826058201058199</v>
      </c>
      <c r="H116" s="11">
        <f t="shared" si="4"/>
        <v>0.72869561634805535</v>
      </c>
      <c r="I116" s="12"/>
      <c r="J116" s="1" t="s">
        <v>20</v>
      </c>
      <c r="K116" s="29">
        <f>F116-F100</f>
        <v>24.399999999999949</v>
      </c>
    </row>
    <row r="117" spans="1:11" x14ac:dyDescent="0.4">
      <c r="A117" s="30" t="s">
        <v>49</v>
      </c>
      <c r="D117">
        <v>1.5</v>
      </c>
      <c r="F117" s="42">
        <f>SUM($D$17:D117)</f>
        <v>172.17999999999995</v>
      </c>
      <c r="G117" s="11">
        <f t="shared" si="4"/>
        <v>0.49974867724867722</v>
      </c>
      <c r="H117" s="11">
        <f t="shared" si="4"/>
        <v>0.73151093166337056</v>
      </c>
      <c r="I117" s="12"/>
      <c r="K117" s="29"/>
    </row>
    <row r="118" spans="1:11" x14ac:dyDescent="0.4">
      <c r="A118" s="30" t="s">
        <v>176</v>
      </c>
      <c r="D118">
        <v>1.2</v>
      </c>
      <c r="F118" s="42">
        <f>SUM($D$17:D118)</f>
        <v>173.37999999999994</v>
      </c>
      <c r="G118" s="11">
        <f t="shared" si="4"/>
        <v>0.50093915343915341</v>
      </c>
      <c r="H118" s="11">
        <f t="shared" si="4"/>
        <v>0.7337631839156229</v>
      </c>
      <c r="I118" s="12"/>
      <c r="K118" s="29"/>
    </row>
    <row r="119" spans="1:11" x14ac:dyDescent="0.4">
      <c r="A119" s="30" t="s">
        <v>50</v>
      </c>
      <c r="D119">
        <v>1.5</v>
      </c>
      <c r="F119" s="42">
        <f>SUM($D$17:D119)</f>
        <v>174.87999999999994</v>
      </c>
      <c r="G119" s="69">
        <f t="shared" si="4"/>
        <v>0.50242724867724864</v>
      </c>
      <c r="H119" s="11">
        <f t="shared" si="4"/>
        <v>0.7365784992309381</v>
      </c>
      <c r="I119" s="12"/>
      <c r="K119" s="29"/>
    </row>
    <row r="120" spans="1:11" ht="18" thickBot="1" x14ac:dyDescent="0.45">
      <c r="A120" s="72" t="s">
        <v>37</v>
      </c>
      <c r="B120" s="73"/>
      <c r="C120" s="73"/>
      <c r="D120" s="73">
        <v>1.8</v>
      </c>
      <c r="E120" s="74">
        <f>SUM(D115:D120)</f>
        <v>7.7</v>
      </c>
      <c r="F120" s="74">
        <f>SUM($D$17:D120)</f>
        <v>176.67999999999995</v>
      </c>
      <c r="G120" s="75">
        <f>G$12+($F120/G$15/24)</f>
        <v>0.50421296296296292</v>
      </c>
      <c r="H120" s="75">
        <f t="shared" si="4"/>
        <v>0.73995687760931661</v>
      </c>
      <c r="I120" s="37"/>
      <c r="J120" s="35"/>
      <c r="K120" s="38"/>
    </row>
    <row r="121" spans="1:11" x14ac:dyDescent="0.4">
      <c r="F121" s="1"/>
      <c r="G121" s="4"/>
      <c r="H121" s="4"/>
    </row>
    <row r="122" spans="1:11" x14ac:dyDescent="0.4">
      <c r="A122" s="2" t="s">
        <v>31</v>
      </c>
      <c r="G122" s="21">
        <v>3</v>
      </c>
      <c r="H122" s="21">
        <v>10</v>
      </c>
      <c r="I122" s="12"/>
    </row>
    <row r="123" spans="1:11" x14ac:dyDescent="0.4">
      <c r="A123" s="2" t="s">
        <v>32</v>
      </c>
      <c r="F123" s="1"/>
      <c r="G123" s="4">
        <f>TIME(0,G122,0)+G120</f>
        <v>0.50629629629629624</v>
      </c>
      <c r="H123" s="19">
        <f>TIME(0,H122,0)+H120</f>
        <v>0.74690132205376103</v>
      </c>
      <c r="I123" s="2"/>
    </row>
    <row r="124" spans="1:11" x14ac:dyDescent="0.4">
      <c r="F124" s="1"/>
      <c r="G124" s="4"/>
      <c r="H124" s="4"/>
    </row>
    <row r="125" spans="1:11" ht="16.8" customHeight="1" x14ac:dyDescent="0.4">
      <c r="A125" s="2" t="s">
        <v>16</v>
      </c>
      <c r="G125" t="s">
        <v>38</v>
      </c>
      <c r="H125" t="s">
        <v>39</v>
      </c>
    </row>
    <row r="126" spans="1:11" x14ac:dyDescent="0.4">
      <c r="E126" t="s">
        <v>41</v>
      </c>
      <c r="F126" s="1" t="s">
        <v>0</v>
      </c>
      <c r="G126" s="20">
        <v>15.2</v>
      </c>
      <c r="H126" s="20">
        <v>6.6</v>
      </c>
      <c r="I126" s="2"/>
    </row>
    <row r="127" spans="1:11" ht="18" thickBot="1" x14ac:dyDescent="0.45">
      <c r="A127" s="6" t="s">
        <v>19</v>
      </c>
      <c r="B127" s="7" t="s">
        <v>2</v>
      </c>
      <c r="C127" s="8" t="s">
        <v>17</v>
      </c>
      <c r="D127" s="6" t="s">
        <v>40</v>
      </c>
      <c r="E127" s="9" t="s">
        <v>78</v>
      </c>
      <c r="F127" s="10" t="s">
        <v>3</v>
      </c>
      <c r="G127" s="6" t="s">
        <v>38</v>
      </c>
      <c r="H127" s="6" t="s">
        <v>39</v>
      </c>
      <c r="I127" s="6"/>
      <c r="J127" s="10" t="s">
        <v>18</v>
      </c>
      <c r="K127" s="9" t="s">
        <v>77</v>
      </c>
    </row>
    <row r="128" spans="1:11" s="1" customFormat="1" x14ac:dyDescent="0.4">
      <c r="A128" s="52" t="s">
        <v>168</v>
      </c>
      <c r="B128" s="24"/>
      <c r="C128" s="24"/>
      <c r="D128" s="24">
        <v>0</v>
      </c>
      <c r="E128" s="25"/>
      <c r="F128" s="24">
        <f>D128</f>
        <v>0</v>
      </c>
      <c r="G128" s="71">
        <f>G123</f>
        <v>0.50629629629629624</v>
      </c>
      <c r="H128" s="26">
        <f>H123</f>
        <v>0.74690132205376103</v>
      </c>
      <c r="I128" s="27"/>
      <c r="J128" s="25"/>
      <c r="K128" s="28"/>
    </row>
    <row r="129" spans="1:11" s="1" customFormat="1" x14ac:dyDescent="0.4">
      <c r="A129" s="30" t="s">
        <v>88</v>
      </c>
      <c r="B129" t="s">
        <v>1</v>
      </c>
      <c r="C129">
        <v>1</v>
      </c>
      <c r="D129">
        <v>0.9</v>
      </c>
      <c r="F129">
        <f>SUM($D$128:D129)</f>
        <v>0.9</v>
      </c>
      <c r="G129" s="11">
        <f t="shared" ref="G129:H157" si="5">G$128+($F129/G$126/24)</f>
        <v>0.5087634015594541</v>
      </c>
      <c r="H129" s="11">
        <f t="shared" si="5"/>
        <v>0.75258314023557926</v>
      </c>
      <c r="I129" s="12"/>
      <c r="K129" s="29"/>
    </row>
    <row r="130" spans="1:11" s="1" customFormat="1" ht="16.8" customHeight="1" x14ac:dyDescent="0.4">
      <c r="A130" s="30" t="s">
        <v>169</v>
      </c>
      <c r="B130"/>
      <c r="C130"/>
      <c r="D130">
        <v>0.48</v>
      </c>
      <c r="F130">
        <f>SUM($D$128:D130)</f>
        <v>1.38</v>
      </c>
      <c r="G130" s="11">
        <f t="shared" si="5"/>
        <v>0.51007919103313837</v>
      </c>
      <c r="H130" s="11">
        <f t="shared" si="5"/>
        <v>0.7556134432658822</v>
      </c>
      <c r="I130" s="12"/>
      <c r="J130" s="1">
        <f>F130</f>
        <v>1.38</v>
      </c>
      <c r="K130" s="29">
        <f>J130</f>
        <v>1.38</v>
      </c>
    </row>
    <row r="131" spans="1:11" s="1" customFormat="1" x14ac:dyDescent="0.4">
      <c r="A131" s="30" t="s">
        <v>170</v>
      </c>
      <c r="B131"/>
      <c r="C131"/>
      <c r="D131">
        <v>0.1</v>
      </c>
      <c r="F131">
        <f>SUM($D$128:D131)</f>
        <v>1.48</v>
      </c>
      <c r="G131" s="11">
        <f t="shared" si="5"/>
        <v>0.51035331384015592</v>
      </c>
      <c r="H131" s="11">
        <f t="shared" si="5"/>
        <v>0.75624475639719535</v>
      </c>
      <c r="I131" s="12"/>
      <c r="K131" s="29"/>
    </row>
    <row r="132" spans="1:11" s="1" customFormat="1" x14ac:dyDescent="0.4">
      <c r="A132" s="30" t="s">
        <v>68</v>
      </c>
      <c r="B132"/>
      <c r="C132"/>
      <c r="D132">
        <v>0.32</v>
      </c>
      <c r="F132">
        <f>SUM($D$128:D132)</f>
        <v>1.8</v>
      </c>
      <c r="G132" s="11">
        <f t="shared" si="5"/>
        <v>0.51123050682261206</v>
      </c>
      <c r="H132" s="11">
        <f t="shared" si="5"/>
        <v>0.75826495841739738</v>
      </c>
      <c r="I132" s="12"/>
      <c r="K132" s="29"/>
    </row>
    <row r="133" spans="1:11" s="1" customFormat="1" x14ac:dyDescent="0.4">
      <c r="A133" s="58" t="s">
        <v>138</v>
      </c>
      <c r="C133" t="s">
        <v>100</v>
      </c>
      <c r="D133"/>
      <c r="F133"/>
      <c r="G133" s="11"/>
      <c r="H133" s="11"/>
      <c r="I133" s="2" t="s">
        <v>134</v>
      </c>
      <c r="K133" s="29"/>
    </row>
    <row r="134" spans="1:11" s="1" customFormat="1" x14ac:dyDescent="0.4">
      <c r="A134" s="30" t="s">
        <v>69</v>
      </c>
      <c r="B134"/>
      <c r="C134"/>
      <c r="D134">
        <v>0.34</v>
      </c>
      <c r="F134">
        <f>SUM($D$128:D134)</f>
        <v>2.14</v>
      </c>
      <c r="G134" s="11">
        <f t="shared" si="5"/>
        <v>0.51216252436647169</v>
      </c>
      <c r="H134" s="11">
        <f t="shared" si="5"/>
        <v>0.760411423063862</v>
      </c>
      <c r="I134" s="12"/>
      <c r="K134" s="29"/>
    </row>
    <row r="135" spans="1:11" s="1" customFormat="1" x14ac:dyDescent="0.4">
      <c r="A135" s="30" t="s">
        <v>70</v>
      </c>
      <c r="B135"/>
      <c r="C135"/>
      <c r="D135">
        <v>1.05</v>
      </c>
      <c r="F135">
        <f>SUM($D$128:D135)</f>
        <v>3.1900000000000004</v>
      </c>
      <c r="G135" s="11">
        <f t="shared" si="5"/>
        <v>0.51504081384015588</v>
      </c>
      <c r="H135" s="11">
        <f t="shared" si="5"/>
        <v>0.76704021094264996</v>
      </c>
      <c r="I135" s="12"/>
      <c r="J135" s="1">
        <f>F135</f>
        <v>3.1900000000000004</v>
      </c>
      <c r="K135" s="29">
        <f>J135-J130</f>
        <v>1.8100000000000005</v>
      </c>
    </row>
    <row r="136" spans="1:11" s="1" customFormat="1" x14ac:dyDescent="0.4">
      <c r="A136" s="58" t="s">
        <v>139</v>
      </c>
      <c r="C136" t="s">
        <v>101</v>
      </c>
      <c r="D136"/>
      <c r="F136"/>
      <c r="G136" s="11"/>
      <c r="H136" s="11"/>
      <c r="I136" s="2" t="s">
        <v>135</v>
      </c>
      <c r="K136" s="29"/>
    </row>
    <row r="137" spans="1:11" s="1" customFormat="1" x14ac:dyDescent="0.4">
      <c r="A137" s="30" t="s">
        <v>71</v>
      </c>
      <c r="B137"/>
      <c r="C137"/>
      <c r="D137">
        <v>1</v>
      </c>
      <c r="F137">
        <f>SUM($D$128:D137)</f>
        <v>4.1900000000000004</v>
      </c>
      <c r="G137" s="11">
        <f t="shared" si="5"/>
        <v>0.51778204191033128</v>
      </c>
      <c r="H137" s="11">
        <f t="shared" si="5"/>
        <v>0.77335334225578123</v>
      </c>
      <c r="I137" s="12"/>
      <c r="K137" s="29"/>
    </row>
    <row r="138" spans="1:11" s="1" customFormat="1" x14ac:dyDescent="0.4">
      <c r="A138" s="30" t="s">
        <v>42</v>
      </c>
      <c r="B138"/>
      <c r="C138"/>
      <c r="D138">
        <v>0.15</v>
      </c>
      <c r="F138">
        <f>SUM($D$128:D138)</f>
        <v>4.3400000000000007</v>
      </c>
      <c r="G138" s="11">
        <f t="shared" si="5"/>
        <v>0.51819322612085761</v>
      </c>
      <c r="H138" s="11">
        <f t="shared" si="5"/>
        <v>0.77430031195275095</v>
      </c>
      <c r="I138" s="12"/>
      <c r="K138" s="29"/>
    </row>
    <row r="139" spans="1:11" s="1" customFormat="1" x14ac:dyDescent="0.4">
      <c r="A139" s="30" t="s">
        <v>22</v>
      </c>
      <c r="B139"/>
      <c r="C139"/>
      <c r="D139">
        <v>0.93</v>
      </c>
      <c r="F139">
        <f>SUM($D$128:D139)</f>
        <v>5.2700000000000005</v>
      </c>
      <c r="G139" s="11">
        <f t="shared" si="5"/>
        <v>0.52074256822612086</v>
      </c>
      <c r="H139" s="11">
        <f t="shared" si="5"/>
        <v>0.78017152407396306</v>
      </c>
      <c r="I139" s="12"/>
      <c r="J139" s="1">
        <f>F139</f>
        <v>5.2700000000000005</v>
      </c>
      <c r="K139" s="29">
        <f>J139-J135</f>
        <v>2.08</v>
      </c>
    </row>
    <row r="140" spans="1:11" s="1" customFormat="1" x14ac:dyDescent="0.4">
      <c r="A140" s="68" t="s">
        <v>43</v>
      </c>
      <c r="B140" t="s">
        <v>6</v>
      </c>
      <c r="C140">
        <v>2</v>
      </c>
      <c r="D140">
        <v>0.21</v>
      </c>
      <c r="F140">
        <f>SUM($D$128:D140)</f>
        <v>5.48</v>
      </c>
      <c r="G140" s="11">
        <f t="shared" si="5"/>
        <v>0.52131822612085765</v>
      </c>
      <c r="H140" s="11">
        <f t="shared" si="5"/>
        <v>0.78149728164972065</v>
      </c>
      <c r="I140" s="12"/>
      <c r="K140" s="29"/>
    </row>
    <row r="141" spans="1:11" s="1" customFormat="1" x14ac:dyDescent="0.4">
      <c r="A141" s="58" t="s">
        <v>132</v>
      </c>
      <c r="C141" t="s">
        <v>102</v>
      </c>
      <c r="D141"/>
      <c r="F141"/>
      <c r="G141" s="11"/>
      <c r="H141" s="11"/>
      <c r="I141" s="2" t="s">
        <v>136</v>
      </c>
      <c r="K141" s="29"/>
    </row>
    <row r="142" spans="1:11" s="1" customFormat="1" x14ac:dyDescent="0.4">
      <c r="A142" s="30" t="s">
        <v>42</v>
      </c>
      <c r="B142"/>
      <c r="C142"/>
      <c r="D142">
        <v>1.1399999999999999</v>
      </c>
      <c r="F142">
        <f>SUM($D$128:D142)</f>
        <v>6.62</v>
      </c>
      <c r="G142" s="11">
        <f t="shared" si="5"/>
        <v>0.5244432261208577</v>
      </c>
      <c r="H142" s="11">
        <f t="shared" si="5"/>
        <v>0.78869425134669036</v>
      </c>
      <c r="I142" s="12"/>
      <c r="K142" s="29"/>
    </row>
    <row r="143" spans="1:11" s="1" customFormat="1" x14ac:dyDescent="0.4">
      <c r="A143" s="30" t="s">
        <v>71</v>
      </c>
      <c r="B143"/>
      <c r="C143"/>
      <c r="D143">
        <v>0.15</v>
      </c>
      <c r="F143">
        <f>SUM($D$128:D143)</f>
        <v>6.7700000000000005</v>
      </c>
      <c r="G143" s="11">
        <f t="shared" si="5"/>
        <v>0.52485441033138391</v>
      </c>
      <c r="H143" s="11">
        <f t="shared" si="5"/>
        <v>0.78964122104366008</v>
      </c>
      <c r="I143" s="12"/>
      <c r="K143" s="29"/>
    </row>
    <row r="144" spans="1:11" s="1" customFormat="1" x14ac:dyDescent="0.4">
      <c r="A144" s="30" t="s">
        <v>44</v>
      </c>
      <c r="B144" t="s">
        <v>7</v>
      </c>
      <c r="C144">
        <v>3</v>
      </c>
      <c r="D144" s="2">
        <v>0.18</v>
      </c>
      <c r="F144">
        <f>SUM($D$128:D144)</f>
        <v>6.95</v>
      </c>
      <c r="G144" s="11">
        <f t="shared" si="5"/>
        <v>0.52534783138401553</v>
      </c>
      <c r="H144" s="11">
        <f t="shared" si="5"/>
        <v>0.79077758468002368</v>
      </c>
      <c r="I144" s="12"/>
      <c r="K144" s="29"/>
    </row>
    <row r="145" spans="1:11" s="1" customFormat="1" x14ac:dyDescent="0.4">
      <c r="A145" s="30" t="s">
        <v>45</v>
      </c>
      <c r="B145"/>
      <c r="C145"/>
      <c r="D145">
        <v>0.36</v>
      </c>
      <c r="F145">
        <f>SUM($D$128:D145)</f>
        <v>7.3100000000000005</v>
      </c>
      <c r="G145" s="11">
        <f t="shared" si="5"/>
        <v>0.52633467348927865</v>
      </c>
      <c r="H145" s="11">
        <f t="shared" si="5"/>
        <v>0.79305031195275089</v>
      </c>
      <c r="I145" s="12"/>
      <c r="K145" s="29"/>
    </row>
    <row r="146" spans="1:11" s="1" customFormat="1" x14ac:dyDescent="0.4">
      <c r="A146" s="30" t="s">
        <v>24</v>
      </c>
      <c r="B146"/>
      <c r="C146"/>
      <c r="D146">
        <v>0.38</v>
      </c>
      <c r="F146">
        <f>SUM($D$128:D146)</f>
        <v>7.69</v>
      </c>
      <c r="G146" s="11">
        <f t="shared" si="5"/>
        <v>0.52737634015594537</v>
      </c>
      <c r="H146" s="11">
        <f t="shared" si="5"/>
        <v>0.79544930185174079</v>
      </c>
      <c r="I146" s="12"/>
      <c r="J146" s="1">
        <f>F146</f>
        <v>7.69</v>
      </c>
      <c r="K146" s="29">
        <f>J146-J139</f>
        <v>2.42</v>
      </c>
    </row>
    <row r="147" spans="1:11" s="1" customFormat="1" x14ac:dyDescent="0.4">
      <c r="A147" s="58" t="s">
        <v>150</v>
      </c>
      <c r="C147" t="s">
        <v>103</v>
      </c>
      <c r="D147"/>
      <c r="F147"/>
      <c r="G147" s="11"/>
      <c r="H147" s="11"/>
      <c r="I147" s="2" t="s">
        <v>137</v>
      </c>
      <c r="K147" s="29"/>
    </row>
    <row r="148" spans="1:11" s="1" customFormat="1" x14ac:dyDescent="0.4">
      <c r="A148" s="30" t="s">
        <v>46</v>
      </c>
      <c r="B148"/>
      <c r="C148"/>
      <c r="D148">
        <v>0.47</v>
      </c>
      <c r="F148">
        <f>SUM($D$128:D148)</f>
        <v>8.16</v>
      </c>
      <c r="G148" s="11">
        <f t="shared" si="5"/>
        <v>0.52866471734892784</v>
      </c>
      <c r="H148" s="11">
        <f t="shared" si="5"/>
        <v>0.79841647356891254</v>
      </c>
      <c r="I148" s="12"/>
      <c r="K148" s="29"/>
    </row>
    <row r="149" spans="1:11" s="1" customFormat="1" x14ac:dyDescent="0.4">
      <c r="A149" s="30" t="s">
        <v>72</v>
      </c>
      <c r="B149"/>
      <c r="C149"/>
      <c r="D149">
        <v>0.9</v>
      </c>
      <c r="F149">
        <f>SUM($D$128:D149)</f>
        <v>9.06</v>
      </c>
      <c r="G149" s="11">
        <f t="shared" si="5"/>
        <v>0.53113182261208569</v>
      </c>
      <c r="H149" s="11">
        <f t="shared" si="5"/>
        <v>0.80409829175073078</v>
      </c>
      <c r="I149" s="12"/>
      <c r="K149" s="29"/>
    </row>
    <row r="150" spans="1:11" s="1" customFormat="1" x14ac:dyDescent="0.4">
      <c r="A150" s="30" t="s">
        <v>25</v>
      </c>
      <c r="B150"/>
      <c r="C150"/>
      <c r="D150">
        <v>0.27</v>
      </c>
      <c r="F150">
        <f>SUM($D$128:D150)</f>
        <v>9.33</v>
      </c>
      <c r="G150" s="11">
        <f t="shared" si="5"/>
        <v>0.53187195419103306</v>
      </c>
      <c r="H150" s="11">
        <f t="shared" si="5"/>
        <v>0.80580283720527623</v>
      </c>
      <c r="I150" s="12"/>
      <c r="J150" s="1">
        <f>F150</f>
        <v>9.33</v>
      </c>
      <c r="K150" s="29">
        <f>J150-J146</f>
        <v>1.6399999999999997</v>
      </c>
    </row>
    <row r="151" spans="1:11" x14ac:dyDescent="0.4">
      <c r="A151" s="30" t="s">
        <v>47</v>
      </c>
      <c r="D151">
        <v>0.21</v>
      </c>
      <c r="F151">
        <f>SUM($D$128:D151)</f>
        <v>9.5400000000000009</v>
      </c>
      <c r="G151" s="11">
        <f t="shared" si="5"/>
        <v>0.53244761208576996</v>
      </c>
      <c r="H151" s="11">
        <f t="shared" si="5"/>
        <v>0.80712859478103383</v>
      </c>
      <c r="I151" s="12"/>
      <c r="K151" s="29"/>
    </row>
    <row r="152" spans="1:11" x14ac:dyDescent="0.4">
      <c r="A152" s="30" t="s">
        <v>69</v>
      </c>
      <c r="D152">
        <v>0.04</v>
      </c>
      <c r="F152">
        <f>SUM($D$128:D152)</f>
        <v>9.58</v>
      </c>
      <c r="G152" s="11">
        <f t="shared" si="5"/>
        <v>0.53255726120857694</v>
      </c>
      <c r="H152" s="11">
        <f t="shared" si="5"/>
        <v>0.807381120033559</v>
      </c>
      <c r="I152" s="12"/>
      <c r="K152" s="29"/>
    </row>
    <row r="153" spans="1:11" ht="18" thickBot="1" x14ac:dyDescent="0.45">
      <c r="A153" s="53" t="s">
        <v>68</v>
      </c>
      <c r="B153" s="34"/>
      <c r="C153" s="34"/>
      <c r="D153" s="34">
        <v>0.34</v>
      </c>
      <c r="E153" s="41">
        <f>SUM(D128:D153)</f>
        <v>9.92</v>
      </c>
      <c r="F153" s="34">
        <f>SUM($D$128:D153)</f>
        <v>9.92</v>
      </c>
      <c r="G153" s="36">
        <f t="shared" si="5"/>
        <v>0.53348927875243657</v>
      </c>
      <c r="H153" s="36">
        <f t="shared" si="5"/>
        <v>0.80952758468002362</v>
      </c>
      <c r="I153" s="51" t="s">
        <v>133</v>
      </c>
      <c r="J153" s="35"/>
      <c r="K153" s="38"/>
    </row>
    <row r="154" spans="1:11" ht="17.399999999999999" customHeight="1" thickBot="1" x14ac:dyDescent="0.45"/>
    <row r="155" spans="1:11" s="1" customFormat="1" x14ac:dyDescent="0.4">
      <c r="A155" s="23" t="s">
        <v>88</v>
      </c>
      <c r="B155" s="24" t="s">
        <v>1</v>
      </c>
      <c r="C155" s="24">
        <v>1</v>
      </c>
      <c r="D155" s="24">
        <v>0.9</v>
      </c>
      <c r="E155" s="25"/>
      <c r="F155" s="24">
        <f>SUM($D$128:D155)</f>
        <v>10.82</v>
      </c>
      <c r="G155" s="26">
        <f t="shared" si="5"/>
        <v>0.53595638401559453</v>
      </c>
      <c r="H155" s="26">
        <f t="shared" si="5"/>
        <v>0.81520940286184185</v>
      </c>
      <c r="I155" s="27"/>
      <c r="J155" s="25"/>
      <c r="K155" s="28"/>
    </row>
    <row r="156" spans="1:11" s="1" customFormat="1" x14ac:dyDescent="0.4">
      <c r="A156" s="30" t="s">
        <v>169</v>
      </c>
      <c r="B156"/>
      <c r="C156"/>
      <c r="D156">
        <v>0.48</v>
      </c>
      <c r="F156">
        <f>SUM($D$128:D156)</f>
        <v>11.3</v>
      </c>
      <c r="G156" s="11">
        <f t="shared" ref="G156:H179" si="6">G$128+($F156/G$126/24)</f>
        <v>0.53727217348927869</v>
      </c>
      <c r="H156" s="11">
        <f t="shared" si="6"/>
        <v>0.8182397058921449</v>
      </c>
      <c r="I156" s="12"/>
      <c r="J156" s="1">
        <f>F156</f>
        <v>11.3</v>
      </c>
      <c r="K156" s="29">
        <f>J156</f>
        <v>11.3</v>
      </c>
    </row>
    <row r="157" spans="1:11" s="1" customFormat="1" x14ac:dyDescent="0.4">
      <c r="A157" s="30" t="s">
        <v>170</v>
      </c>
      <c r="B157"/>
      <c r="C157"/>
      <c r="D157">
        <v>0.1</v>
      </c>
      <c r="F157">
        <f>SUM($D$128:D157)</f>
        <v>11.4</v>
      </c>
      <c r="G157" s="11">
        <f t="shared" si="5"/>
        <v>0.53754629629629624</v>
      </c>
      <c r="H157" s="11">
        <f t="shared" si="5"/>
        <v>0.81887101902345805</v>
      </c>
      <c r="I157" s="12"/>
      <c r="K157" s="29"/>
    </row>
    <row r="158" spans="1:11" s="1" customFormat="1" x14ac:dyDescent="0.4">
      <c r="A158" s="30" t="s">
        <v>68</v>
      </c>
      <c r="B158"/>
      <c r="C158"/>
      <c r="D158">
        <v>0.32</v>
      </c>
      <c r="F158">
        <f>SUM($D$128:D158)</f>
        <v>11.72</v>
      </c>
      <c r="G158" s="11">
        <f t="shared" si="6"/>
        <v>0.53842348927875239</v>
      </c>
      <c r="H158" s="11">
        <f t="shared" si="6"/>
        <v>0.82089122104366008</v>
      </c>
      <c r="I158" s="12"/>
      <c r="K158" s="29"/>
    </row>
    <row r="159" spans="1:11" s="1" customFormat="1" x14ac:dyDescent="0.4">
      <c r="A159" s="58" t="s">
        <v>140</v>
      </c>
      <c r="C159" t="s">
        <v>100</v>
      </c>
      <c r="D159"/>
      <c r="F159"/>
      <c r="G159" s="11"/>
      <c r="H159" s="11"/>
      <c r="I159" s="2" t="s">
        <v>141</v>
      </c>
      <c r="K159" s="29"/>
    </row>
    <row r="160" spans="1:11" s="1" customFormat="1" x14ac:dyDescent="0.4">
      <c r="A160" s="30" t="s">
        <v>69</v>
      </c>
      <c r="B160"/>
      <c r="C160"/>
      <c r="D160">
        <v>0.34</v>
      </c>
      <c r="F160">
        <f>SUM($D$128:D160)</f>
        <v>12.06</v>
      </c>
      <c r="G160" s="11">
        <f t="shared" si="6"/>
        <v>0.53935550682261202</v>
      </c>
      <c r="H160" s="11">
        <f t="shared" si="6"/>
        <v>0.8230376856901247</v>
      </c>
      <c r="I160" s="12"/>
      <c r="K160" s="29"/>
    </row>
    <row r="161" spans="1:11" s="1" customFormat="1" x14ac:dyDescent="0.4">
      <c r="A161" s="30" t="s">
        <v>70</v>
      </c>
      <c r="B161"/>
      <c r="C161"/>
      <c r="D161">
        <v>1.05</v>
      </c>
      <c r="F161">
        <f>SUM($D$128:D161)</f>
        <v>13.110000000000001</v>
      </c>
      <c r="G161" s="11">
        <f t="shared" si="6"/>
        <v>0.5422337962962962</v>
      </c>
      <c r="H161" s="11">
        <f t="shared" si="6"/>
        <v>0.82966647356891254</v>
      </c>
      <c r="I161" s="12"/>
      <c r="J161" s="1">
        <f>F161</f>
        <v>13.110000000000001</v>
      </c>
      <c r="K161" s="29">
        <f>J161-J156</f>
        <v>1.8100000000000005</v>
      </c>
    </row>
    <row r="162" spans="1:11" s="1" customFormat="1" x14ac:dyDescent="0.4">
      <c r="A162" s="58" t="s">
        <v>145</v>
      </c>
      <c r="C162" t="s">
        <v>101</v>
      </c>
      <c r="D162"/>
      <c r="F162"/>
      <c r="G162" s="11"/>
      <c r="H162" s="11"/>
      <c r="I162" s="2" t="s">
        <v>144</v>
      </c>
      <c r="K162" s="29"/>
    </row>
    <row r="163" spans="1:11" s="1" customFormat="1" x14ac:dyDescent="0.4">
      <c r="A163" s="30" t="s">
        <v>71</v>
      </c>
      <c r="B163"/>
      <c r="C163"/>
      <c r="D163">
        <v>1</v>
      </c>
      <c r="F163">
        <f>SUM($D$128:D163)</f>
        <v>14.110000000000001</v>
      </c>
      <c r="G163" s="11">
        <f t="shared" si="6"/>
        <v>0.54497502436647172</v>
      </c>
      <c r="H163" s="11">
        <f t="shared" si="6"/>
        <v>0.83597960488204381</v>
      </c>
      <c r="I163" s="12"/>
      <c r="K163" s="29"/>
    </row>
    <row r="164" spans="1:11" s="1" customFormat="1" x14ac:dyDescent="0.4">
      <c r="A164" s="30" t="s">
        <v>42</v>
      </c>
      <c r="B164"/>
      <c r="C164"/>
      <c r="D164">
        <v>0.15</v>
      </c>
      <c r="F164">
        <f>SUM($D$128:D164)</f>
        <v>14.260000000000002</v>
      </c>
      <c r="G164" s="11">
        <f t="shared" si="6"/>
        <v>0.54538620857699804</v>
      </c>
      <c r="H164" s="11">
        <f t="shared" si="6"/>
        <v>0.83692657457901354</v>
      </c>
      <c r="I164" s="12"/>
      <c r="K164" s="29"/>
    </row>
    <row r="165" spans="1:11" s="1" customFormat="1" x14ac:dyDescent="0.4">
      <c r="A165" s="30" t="s">
        <v>22</v>
      </c>
      <c r="B165"/>
      <c r="C165"/>
      <c r="D165">
        <v>0.93</v>
      </c>
      <c r="F165">
        <f>SUM($D$128:D165)</f>
        <v>15.190000000000001</v>
      </c>
      <c r="G165" s="11">
        <f t="shared" si="6"/>
        <v>0.54793555068226119</v>
      </c>
      <c r="H165" s="11">
        <f t="shared" si="6"/>
        <v>0.84279778670022565</v>
      </c>
      <c r="I165" s="12"/>
      <c r="J165" s="1">
        <f>F165</f>
        <v>15.190000000000001</v>
      </c>
      <c r="K165" s="29">
        <f>J165-J161</f>
        <v>2.08</v>
      </c>
    </row>
    <row r="166" spans="1:11" s="1" customFormat="1" x14ac:dyDescent="0.4">
      <c r="A166" s="30" t="s">
        <v>43</v>
      </c>
      <c r="B166" t="s">
        <v>6</v>
      </c>
      <c r="C166">
        <v>2</v>
      </c>
      <c r="D166">
        <v>0.21</v>
      </c>
      <c r="F166">
        <f>SUM($D$128:D166)</f>
        <v>15.400000000000002</v>
      </c>
      <c r="G166" s="11">
        <f t="shared" si="6"/>
        <v>0.54851120857699798</v>
      </c>
      <c r="H166" s="11">
        <f t="shared" si="6"/>
        <v>0.84412354427598324</v>
      </c>
      <c r="I166" s="12"/>
      <c r="K166" s="29"/>
    </row>
    <row r="167" spans="1:11" s="1" customFormat="1" x14ac:dyDescent="0.4">
      <c r="A167" s="58" t="s">
        <v>146</v>
      </c>
      <c r="C167" t="s">
        <v>102</v>
      </c>
      <c r="D167"/>
      <c r="F167"/>
      <c r="G167" s="11"/>
      <c r="H167" s="11"/>
      <c r="I167" s="2" t="s">
        <v>147</v>
      </c>
      <c r="K167" s="29"/>
    </row>
    <row r="168" spans="1:11" s="1" customFormat="1" x14ac:dyDescent="0.4">
      <c r="A168" s="30" t="s">
        <v>42</v>
      </c>
      <c r="B168"/>
      <c r="C168"/>
      <c r="D168">
        <v>1.1399999999999999</v>
      </c>
      <c r="F168">
        <f>SUM($D$128:D168)</f>
        <v>16.540000000000003</v>
      </c>
      <c r="G168" s="11">
        <f t="shared" si="6"/>
        <v>0.55163620857699802</v>
      </c>
      <c r="H168" s="11">
        <f t="shared" si="6"/>
        <v>0.85132051397295294</v>
      </c>
      <c r="I168" s="12"/>
      <c r="K168" s="29"/>
    </row>
    <row r="169" spans="1:11" s="1" customFormat="1" x14ac:dyDescent="0.4">
      <c r="A169" s="30" t="s">
        <v>71</v>
      </c>
      <c r="B169"/>
      <c r="C169"/>
      <c r="D169">
        <v>0.15</v>
      </c>
      <c r="F169">
        <f>SUM($D$128:D169)</f>
        <v>16.690000000000001</v>
      </c>
      <c r="G169" s="11">
        <f t="shared" si="6"/>
        <v>0.55204739278752435</v>
      </c>
      <c r="H169" s="11">
        <f t="shared" si="6"/>
        <v>0.85226748366992267</v>
      </c>
      <c r="I169" s="12"/>
      <c r="K169" s="29"/>
    </row>
    <row r="170" spans="1:11" s="1" customFormat="1" x14ac:dyDescent="0.4">
      <c r="A170" s="30" t="s">
        <v>44</v>
      </c>
      <c r="B170" t="s">
        <v>7</v>
      </c>
      <c r="C170">
        <v>3</v>
      </c>
      <c r="D170" s="2">
        <v>0.18</v>
      </c>
      <c r="F170">
        <f>SUM($D$128:D170)</f>
        <v>16.87</v>
      </c>
      <c r="G170" s="11">
        <f t="shared" si="6"/>
        <v>0.55254081384015585</v>
      </c>
      <c r="H170" s="11">
        <f t="shared" si="6"/>
        <v>0.85340384730628627</v>
      </c>
      <c r="I170" s="12"/>
      <c r="K170" s="29"/>
    </row>
    <row r="171" spans="1:11" s="1" customFormat="1" x14ac:dyDescent="0.4">
      <c r="A171" s="30" t="s">
        <v>45</v>
      </c>
      <c r="B171"/>
      <c r="C171"/>
      <c r="D171">
        <v>0.36</v>
      </c>
      <c r="F171">
        <f>SUM($D$128:D171)</f>
        <v>17.23</v>
      </c>
      <c r="G171" s="11">
        <f t="shared" si="6"/>
        <v>0.55352765594541908</v>
      </c>
      <c r="H171" s="11">
        <f t="shared" si="6"/>
        <v>0.85567657457901358</v>
      </c>
      <c r="I171" s="12"/>
      <c r="K171" s="29"/>
    </row>
    <row r="172" spans="1:11" s="1" customFormat="1" x14ac:dyDescent="0.4">
      <c r="A172" s="30" t="s">
        <v>24</v>
      </c>
      <c r="B172"/>
      <c r="C172"/>
      <c r="D172">
        <v>0.38</v>
      </c>
      <c r="F172">
        <f>SUM($D$128:D172)</f>
        <v>17.61</v>
      </c>
      <c r="G172" s="11">
        <f t="shared" si="6"/>
        <v>0.55456932261208569</v>
      </c>
      <c r="H172" s="11">
        <f t="shared" si="6"/>
        <v>0.85807556447800348</v>
      </c>
      <c r="I172" s="12"/>
      <c r="J172" s="1">
        <f>F172</f>
        <v>17.61</v>
      </c>
      <c r="K172" s="29">
        <f>J172-J165</f>
        <v>2.4199999999999982</v>
      </c>
    </row>
    <row r="173" spans="1:11" s="1" customFormat="1" x14ac:dyDescent="0.4">
      <c r="A173" s="58" t="s">
        <v>149</v>
      </c>
      <c r="C173" t="s">
        <v>103</v>
      </c>
      <c r="D173"/>
      <c r="F173"/>
      <c r="G173" s="11"/>
      <c r="H173" s="11"/>
      <c r="I173" s="2" t="s">
        <v>148</v>
      </c>
      <c r="K173" s="29"/>
    </row>
    <row r="174" spans="1:11" s="1" customFormat="1" x14ac:dyDescent="0.4">
      <c r="A174" s="30" t="s">
        <v>46</v>
      </c>
      <c r="B174"/>
      <c r="C174"/>
      <c r="D174">
        <v>0.47</v>
      </c>
      <c r="F174">
        <f>SUM($D$128:D174)</f>
        <v>18.079999999999998</v>
      </c>
      <c r="G174" s="11">
        <f t="shared" si="6"/>
        <v>0.55585769980506816</v>
      </c>
      <c r="H174" s="11">
        <f t="shared" si="6"/>
        <v>0.86104273619517513</v>
      </c>
      <c r="I174" s="12"/>
      <c r="K174" s="29"/>
    </row>
    <row r="175" spans="1:11" s="1" customFormat="1" x14ac:dyDescent="0.4">
      <c r="A175" s="30" t="s">
        <v>72</v>
      </c>
      <c r="B175"/>
      <c r="C175"/>
      <c r="D175">
        <v>0.9</v>
      </c>
      <c r="F175">
        <f>SUM($D$128:D175)</f>
        <v>18.979999999999997</v>
      </c>
      <c r="G175" s="11">
        <f t="shared" si="6"/>
        <v>0.55832480506822602</v>
      </c>
      <c r="H175" s="11">
        <f t="shared" si="6"/>
        <v>0.86672455437699336</v>
      </c>
      <c r="I175" s="12"/>
      <c r="K175" s="29"/>
    </row>
    <row r="176" spans="1:11" s="1" customFormat="1" x14ac:dyDescent="0.4">
      <c r="A176" s="30" t="s">
        <v>25</v>
      </c>
      <c r="B176"/>
      <c r="C176"/>
      <c r="D176">
        <v>0.27</v>
      </c>
      <c r="F176">
        <f>SUM($D$128:D176)</f>
        <v>19.249999999999996</v>
      </c>
      <c r="G176" s="11">
        <f t="shared" si="6"/>
        <v>0.55906493664717338</v>
      </c>
      <c r="H176" s="11">
        <f t="shared" si="6"/>
        <v>0.86842909983153882</v>
      </c>
      <c r="I176" s="12"/>
      <c r="J176" s="1">
        <f>F176</f>
        <v>19.249999999999996</v>
      </c>
      <c r="K176" s="29">
        <f>J176-J172</f>
        <v>1.639999999999997</v>
      </c>
    </row>
    <row r="177" spans="1:11" x14ac:dyDescent="0.4">
      <c r="A177" s="30" t="s">
        <v>47</v>
      </c>
      <c r="D177">
        <v>0.21</v>
      </c>
      <c r="F177">
        <f>SUM($D$128:D177)</f>
        <v>19.459999999999997</v>
      </c>
      <c r="G177" s="11">
        <f t="shared" si="6"/>
        <v>0.55964059454191029</v>
      </c>
      <c r="H177" s="11">
        <f t="shared" si="6"/>
        <v>0.86975485740729641</v>
      </c>
      <c r="I177" s="12"/>
      <c r="K177" s="29"/>
    </row>
    <row r="178" spans="1:11" x14ac:dyDescent="0.4">
      <c r="A178" s="30" t="s">
        <v>69</v>
      </c>
      <c r="D178">
        <v>0.04</v>
      </c>
      <c r="F178">
        <f>SUM($D$128:D178)</f>
        <v>19.499999999999996</v>
      </c>
      <c r="G178" s="11">
        <f t="shared" si="6"/>
        <v>0.55975024366471726</v>
      </c>
      <c r="H178" s="11">
        <f t="shared" si="6"/>
        <v>0.87000738265982158</v>
      </c>
      <c r="I178" s="12"/>
      <c r="K178" s="29"/>
    </row>
    <row r="179" spans="1:11" ht="18" thickBot="1" x14ac:dyDescent="0.45">
      <c r="A179" s="53" t="s">
        <v>68</v>
      </c>
      <c r="B179" s="34"/>
      <c r="C179" s="34"/>
      <c r="D179" s="34">
        <v>0.34</v>
      </c>
      <c r="E179" s="41">
        <f>SUM(D154:D179)</f>
        <v>9.92</v>
      </c>
      <c r="F179" s="34">
        <f>SUM($D$128:D179)</f>
        <v>19.839999999999996</v>
      </c>
      <c r="G179" s="36">
        <f t="shared" si="6"/>
        <v>0.56068226120857689</v>
      </c>
      <c r="H179" s="36">
        <f t="shared" si="6"/>
        <v>0.87215384730628631</v>
      </c>
      <c r="I179" s="51" t="s">
        <v>151</v>
      </c>
      <c r="J179" s="35"/>
      <c r="K179" s="38"/>
    </row>
    <row r="180" spans="1:11" ht="16.2" customHeight="1" x14ac:dyDescent="0.4">
      <c r="G180" s="11"/>
      <c r="H180" s="11"/>
      <c r="I180" s="12"/>
    </row>
    <row r="181" spans="1:11" ht="17.399999999999999" customHeight="1" thickBot="1" x14ac:dyDescent="0.45"/>
    <row r="182" spans="1:11" s="1" customFormat="1" x14ac:dyDescent="0.4">
      <c r="A182" s="23" t="s">
        <v>88</v>
      </c>
      <c r="B182" s="24" t="s">
        <v>1</v>
      </c>
      <c r="C182" s="24">
        <v>1</v>
      </c>
      <c r="D182" s="24">
        <v>0.9</v>
      </c>
      <c r="E182" s="25"/>
      <c r="F182" s="24">
        <f>SUM($D$128:D182)</f>
        <v>20.739999999999995</v>
      </c>
      <c r="G182" s="26">
        <f t="shared" ref="G182:H211" si="7">G$128+($F182/G$126/24)</f>
        <v>0.56314936647173486</v>
      </c>
      <c r="H182" s="26">
        <f t="shared" si="7"/>
        <v>0.87783566548810443</v>
      </c>
      <c r="I182" s="27"/>
      <c r="J182" s="25"/>
      <c r="K182" s="28"/>
    </row>
    <row r="183" spans="1:11" s="1" customFormat="1" x14ac:dyDescent="0.4">
      <c r="A183" s="30" t="s">
        <v>169</v>
      </c>
      <c r="B183"/>
      <c r="C183"/>
      <c r="D183">
        <v>0.48</v>
      </c>
      <c r="F183">
        <f>SUM($D$128:D183)</f>
        <v>21.219999999999995</v>
      </c>
      <c r="G183" s="11">
        <f t="shared" si="7"/>
        <v>0.56446515594541902</v>
      </c>
      <c r="H183" s="11">
        <f t="shared" si="7"/>
        <v>0.88086596851840748</v>
      </c>
      <c r="I183" s="12"/>
      <c r="J183" s="1">
        <f>F183</f>
        <v>21.219999999999995</v>
      </c>
      <c r="K183" s="29">
        <f>J183</f>
        <v>21.219999999999995</v>
      </c>
    </row>
    <row r="184" spans="1:11" s="1" customFormat="1" x14ac:dyDescent="0.4">
      <c r="A184" s="30" t="s">
        <v>170</v>
      </c>
      <c r="B184"/>
      <c r="C184"/>
      <c r="D184">
        <v>0.1</v>
      </c>
      <c r="F184">
        <f>SUM($D$128:D184)</f>
        <v>21.319999999999997</v>
      </c>
      <c r="G184" s="11">
        <f t="shared" si="7"/>
        <v>0.56473927875243657</v>
      </c>
      <c r="H184" s="11">
        <f t="shared" si="7"/>
        <v>0.88149728164972063</v>
      </c>
      <c r="I184" s="12"/>
      <c r="K184" s="29"/>
    </row>
    <row r="185" spans="1:11" s="1" customFormat="1" x14ac:dyDescent="0.4">
      <c r="A185" s="30" t="s">
        <v>68</v>
      </c>
      <c r="B185"/>
      <c r="C185"/>
      <c r="D185">
        <v>0.32</v>
      </c>
      <c r="F185">
        <f>SUM($D$128:D185)</f>
        <v>21.639999999999997</v>
      </c>
      <c r="G185" s="11">
        <f t="shared" si="7"/>
        <v>0.56561647173489271</v>
      </c>
      <c r="H185" s="11">
        <f t="shared" si="7"/>
        <v>0.88351748366992267</v>
      </c>
      <c r="I185" s="12"/>
      <c r="K185" s="29"/>
    </row>
    <row r="186" spans="1:11" s="1" customFormat="1" x14ac:dyDescent="0.4">
      <c r="A186" s="58" t="s">
        <v>152</v>
      </c>
      <c r="C186" t="s">
        <v>100</v>
      </c>
      <c r="D186"/>
      <c r="F186"/>
      <c r="G186" s="11"/>
      <c r="H186" s="11"/>
      <c r="I186" s="2" t="s">
        <v>142</v>
      </c>
      <c r="K186" s="29"/>
    </row>
    <row r="187" spans="1:11" s="1" customFormat="1" x14ac:dyDescent="0.4">
      <c r="A187" s="30" t="s">
        <v>69</v>
      </c>
      <c r="B187"/>
      <c r="C187"/>
      <c r="D187">
        <v>0.34</v>
      </c>
      <c r="F187">
        <f>SUM($D$128:D187)</f>
        <v>21.979999999999997</v>
      </c>
      <c r="G187" s="11">
        <f t="shared" si="7"/>
        <v>0.56654848927875234</v>
      </c>
      <c r="H187" s="11">
        <f t="shared" si="7"/>
        <v>0.88566394831638728</v>
      </c>
      <c r="I187" s="12"/>
      <c r="K187" s="29"/>
    </row>
    <row r="188" spans="1:11" s="1" customFormat="1" x14ac:dyDescent="0.4">
      <c r="A188" s="30" t="s">
        <v>70</v>
      </c>
      <c r="B188"/>
      <c r="C188"/>
      <c r="D188">
        <v>1.05</v>
      </c>
      <c r="F188">
        <f>SUM($D$128:D188)</f>
        <v>23.029999999999998</v>
      </c>
      <c r="G188" s="11">
        <f t="shared" si="7"/>
        <v>0.56942677875243664</v>
      </c>
      <c r="H188" s="11">
        <f t="shared" si="7"/>
        <v>0.89229273619517513</v>
      </c>
      <c r="I188" s="12"/>
      <c r="J188" s="1">
        <f>F188</f>
        <v>23.029999999999998</v>
      </c>
      <c r="K188" s="29">
        <f>J188-J183</f>
        <v>1.8100000000000023</v>
      </c>
    </row>
    <row r="189" spans="1:11" s="1" customFormat="1" x14ac:dyDescent="0.4">
      <c r="A189" s="58" t="s">
        <v>154</v>
      </c>
      <c r="C189" t="s">
        <v>101</v>
      </c>
      <c r="D189"/>
      <c r="F189"/>
      <c r="G189" s="11"/>
      <c r="H189" s="11"/>
      <c r="I189" s="2" t="s">
        <v>153</v>
      </c>
      <c r="K189" s="29"/>
    </row>
    <row r="190" spans="1:11" s="1" customFormat="1" x14ac:dyDescent="0.4">
      <c r="A190" s="30" t="s">
        <v>71</v>
      </c>
      <c r="B190"/>
      <c r="C190"/>
      <c r="D190">
        <v>1</v>
      </c>
      <c r="F190">
        <f>SUM($D$128:D190)</f>
        <v>24.029999999999998</v>
      </c>
      <c r="G190" s="11">
        <f t="shared" si="7"/>
        <v>0.57216800682261204</v>
      </c>
      <c r="H190" s="11">
        <f t="shared" si="7"/>
        <v>0.89860586750830651</v>
      </c>
      <c r="I190" s="12"/>
      <c r="K190" s="29"/>
    </row>
    <row r="191" spans="1:11" s="1" customFormat="1" x14ac:dyDescent="0.4">
      <c r="A191" s="30" t="s">
        <v>42</v>
      </c>
      <c r="B191"/>
      <c r="C191"/>
      <c r="D191">
        <v>0.15</v>
      </c>
      <c r="F191">
        <f>SUM($D$128:D191)</f>
        <v>24.179999999999996</v>
      </c>
      <c r="G191" s="11">
        <f t="shared" si="7"/>
        <v>0.57257919103313837</v>
      </c>
      <c r="H191" s="11">
        <f t="shared" si="7"/>
        <v>0.89955283720527612</v>
      </c>
      <c r="I191" s="12"/>
      <c r="K191" s="29"/>
    </row>
    <row r="192" spans="1:11" s="1" customFormat="1" x14ac:dyDescent="0.4">
      <c r="A192" s="30" t="s">
        <v>22</v>
      </c>
      <c r="B192"/>
      <c r="C192"/>
      <c r="D192">
        <v>0.93</v>
      </c>
      <c r="F192">
        <f>SUM($D$128:D192)</f>
        <v>25.109999999999996</v>
      </c>
      <c r="G192" s="11">
        <f t="shared" si="7"/>
        <v>0.57512853313840151</v>
      </c>
      <c r="H192" s="11">
        <f t="shared" si="7"/>
        <v>0.90542404932648823</v>
      </c>
      <c r="I192" s="12"/>
      <c r="J192" s="1">
        <f>F192</f>
        <v>25.109999999999996</v>
      </c>
      <c r="K192" s="29">
        <f>J192-J188</f>
        <v>2.0799999999999983</v>
      </c>
    </row>
    <row r="193" spans="1:11" s="1" customFormat="1" x14ac:dyDescent="0.4">
      <c r="A193" s="30" t="s">
        <v>43</v>
      </c>
      <c r="B193" t="s">
        <v>6</v>
      </c>
      <c r="C193">
        <v>2</v>
      </c>
      <c r="D193">
        <v>0.21</v>
      </c>
      <c r="F193">
        <f>SUM($D$128:D193)</f>
        <v>25.319999999999997</v>
      </c>
      <c r="G193" s="11">
        <f t="shared" si="7"/>
        <v>0.5757041910331383</v>
      </c>
      <c r="H193" s="11">
        <f t="shared" si="7"/>
        <v>0.90674980690224583</v>
      </c>
      <c r="I193" s="12"/>
      <c r="K193" s="29"/>
    </row>
    <row r="194" spans="1:11" s="1" customFormat="1" x14ac:dyDescent="0.4">
      <c r="A194" s="58" t="s">
        <v>156</v>
      </c>
      <c r="C194" t="s">
        <v>102</v>
      </c>
      <c r="D194"/>
      <c r="F194"/>
      <c r="G194" s="11"/>
      <c r="H194" s="11"/>
      <c r="I194" s="2" t="s">
        <v>155</v>
      </c>
      <c r="K194" s="29"/>
    </row>
    <row r="195" spans="1:11" s="1" customFormat="1" x14ac:dyDescent="0.4">
      <c r="A195" s="30" t="s">
        <v>42</v>
      </c>
      <c r="B195"/>
      <c r="C195"/>
      <c r="D195">
        <v>1.1399999999999999</v>
      </c>
      <c r="F195">
        <f>SUM($D$128:D195)</f>
        <v>26.459999999999997</v>
      </c>
      <c r="G195" s="11">
        <f t="shared" si="7"/>
        <v>0.57882919103313835</v>
      </c>
      <c r="H195" s="11">
        <f t="shared" si="7"/>
        <v>0.91394677659921553</v>
      </c>
      <c r="I195" s="12"/>
      <c r="K195" s="29"/>
    </row>
    <row r="196" spans="1:11" s="1" customFormat="1" x14ac:dyDescent="0.4">
      <c r="A196" s="30" t="s">
        <v>71</v>
      </c>
      <c r="B196"/>
      <c r="C196"/>
      <c r="D196">
        <v>0.15</v>
      </c>
      <c r="F196">
        <f>SUM($D$128:D196)</f>
        <v>26.609999999999996</v>
      </c>
      <c r="G196" s="11">
        <f t="shared" si="7"/>
        <v>0.57924037524366467</v>
      </c>
      <c r="H196" s="11">
        <f t="shared" si="7"/>
        <v>0.91489374629618525</v>
      </c>
      <c r="I196" s="12"/>
      <c r="K196" s="29"/>
    </row>
    <row r="197" spans="1:11" s="1" customFormat="1" x14ac:dyDescent="0.4">
      <c r="A197" s="30" t="s">
        <v>44</v>
      </c>
      <c r="B197" t="s">
        <v>7</v>
      </c>
      <c r="C197">
        <v>3</v>
      </c>
      <c r="D197" s="2">
        <v>0.18</v>
      </c>
      <c r="F197">
        <f>SUM($D$128:D197)</f>
        <v>26.789999999999996</v>
      </c>
      <c r="G197" s="11">
        <f t="shared" si="7"/>
        <v>0.57973379629629629</v>
      </c>
      <c r="H197" s="11">
        <f t="shared" si="7"/>
        <v>0.91603010993254885</v>
      </c>
      <c r="I197" s="12"/>
      <c r="K197" s="29"/>
    </row>
    <row r="198" spans="1:11" s="1" customFormat="1" x14ac:dyDescent="0.4">
      <c r="A198" s="30" t="s">
        <v>45</v>
      </c>
      <c r="B198"/>
      <c r="C198"/>
      <c r="D198">
        <v>0.36</v>
      </c>
      <c r="F198">
        <f>SUM($D$128:D198)</f>
        <v>27.149999999999995</v>
      </c>
      <c r="G198" s="11">
        <f t="shared" si="7"/>
        <v>0.58072063840155941</v>
      </c>
      <c r="H198" s="11">
        <f t="shared" si="7"/>
        <v>0.91830283720527617</v>
      </c>
      <c r="I198" s="12"/>
      <c r="K198" s="29"/>
    </row>
    <row r="199" spans="1:11" s="1" customFormat="1" x14ac:dyDescent="0.4">
      <c r="A199" s="30" t="s">
        <v>24</v>
      </c>
      <c r="B199"/>
      <c r="C199"/>
      <c r="D199">
        <v>0.38</v>
      </c>
      <c r="F199">
        <f>SUM($D$128:D199)</f>
        <v>27.529999999999994</v>
      </c>
      <c r="G199" s="11">
        <f t="shared" si="7"/>
        <v>0.58176230506822602</v>
      </c>
      <c r="H199" s="11">
        <f t="shared" si="7"/>
        <v>0.92070182710426607</v>
      </c>
      <c r="I199" s="12"/>
      <c r="J199" s="1">
        <f>F199</f>
        <v>27.529999999999994</v>
      </c>
      <c r="K199" s="29">
        <f>J199-J192</f>
        <v>2.4199999999999982</v>
      </c>
    </row>
    <row r="200" spans="1:11" s="1" customFormat="1" x14ac:dyDescent="0.4">
      <c r="A200" s="58" t="s">
        <v>157</v>
      </c>
      <c r="C200" t="s">
        <v>103</v>
      </c>
      <c r="D200"/>
      <c r="F200"/>
      <c r="G200" s="11"/>
      <c r="H200" s="11"/>
      <c r="I200" s="2" t="s">
        <v>158</v>
      </c>
      <c r="K200" s="29"/>
    </row>
    <row r="201" spans="1:11" s="1" customFormat="1" x14ac:dyDescent="0.4">
      <c r="A201" s="30" t="s">
        <v>46</v>
      </c>
      <c r="B201"/>
      <c r="C201"/>
      <c r="D201">
        <v>0.47</v>
      </c>
      <c r="F201">
        <f>SUM($D$128:D201)</f>
        <v>27.999999999999993</v>
      </c>
      <c r="G201" s="11">
        <f t="shared" si="7"/>
        <v>0.58305068226120849</v>
      </c>
      <c r="H201" s="11">
        <f t="shared" si="7"/>
        <v>0.92366899882143771</v>
      </c>
      <c r="I201" s="12"/>
      <c r="K201" s="29"/>
    </row>
    <row r="202" spans="1:11" s="1" customFormat="1" x14ac:dyDescent="0.4">
      <c r="A202" s="30" t="s">
        <v>72</v>
      </c>
      <c r="B202"/>
      <c r="C202"/>
      <c r="D202">
        <v>0.9</v>
      </c>
      <c r="F202">
        <f>SUM($D$128:D202)</f>
        <v>28.899999999999991</v>
      </c>
      <c r="G202" s="11">
        <f t="shared" si="7"/>
        <v>0.58551778752436645</v>
      </c>
      <c r="H202" s="11">
        <f t="shared" si="7"/>
        <v>0.92935081700325595</v>
      </c>
      <c r="I202" s="12"/>
      <c r="K202" s="29"/>
    </row>
    <row r="203" spans="1:11" s="1" customFormat="1" x14ac:dyDescent="0.4">
      <c r="A203" s="30" t="s">
        <v>25</v>
      </c>
      <c r="B203"/>
      <c r="C203"/>
      <c r="D203">
        <v>0.27</v>
      </c>
      <c r="F203">
        <f>SUM($D$128:D203)</f>
        <v>29.169999999999991</v>
      </c>
      <c r="G203" s="11">
        <f t="shared" si="7"/>
        <v>0.58625791910331382</v>
      </c>
      <c r="H203" s="11">
        <f t="shared" si="7"/>
        <v>0.93105536245780141</v>
      </c>
      <c r="I203" s="12"/>
      <c r="J203" s="1">
        <f>F203</f>
        <v>29.169999999999991</v>
      </c>
      <c r="K203" s="29">
        <f>J203-J199</f>
        <v>1.639999999999997</v>
      </c>
    </row>
    <row r="204" spans="1:11" x14ac:dyDescent="0.4">
      <c r="A204" s="30" t="s">
        <v>47</v>
      </c>
      <c r="D204">
        <v>0.21</v>
      </c>
      <c r="F204">
        <f>SUM($D$128:D204)</f>
        <v>29.379999999999992</v>
      </c>
      <c r="G204" s="11">
        <f t="shared" si="7"/>
        <v>0.58683357699805061</v>
      </c>
      <c r="H204" s="11">
        <f t="shared" si="7"/>
        <v>0.932381120033559</v>
      </c>
      <c r="I204" s="12"/>
      <c r="K204" s="29"/>
    </row>
    <row r="205" spans="1:11" x14ac:dyDescent="0.4">
      <c r="A205" s="30" t="s">
        <v>69</v>
      </c>
      <c r="D205">
        <v>0.04</v>
      </c>
      <c r="F205">
        <f>SUM($D$128:D205)</f>
        <v>29.419999999999991</v>
      </c>
      <c r="G205" s="11">
        <f t="shared" si="7"/>
        <v>0.58694322612085759</v>
      </c>
      <c r="H205" s="11">
        <f t="shared" si="7"/>
        <v>0.93263364528608417</v>
      </c>
      <c r="I205" s="12"/>
      <c r="K205" s="29"/>
    </row>
    <row r="206" spans="1:11" ht="18" thickBot="1" x14ac:dyDescent="0.45">
      <c r="A206" s="53" t="s">
        <v>68</v>
      </c>
      <c r="B206" s="34"/>
      <c r="C206" s="34"/>
      <c r="D206" s="34">
        <v>0.34</v>
      </c>
      <c r="E206" s="41">
        <f>SUM(D181:D206)</f>
        <v>9.92</v>
      </c>
      <c r="F206" s="34">
        <f>SUM($D$128:D206)</f>
        <v>29.759999999999991</v>
      </c>
      <c r="G206" s="36">
        <f t="shared" si="7"/>
        <v>0.58787524366471722</v>
      </c>
      <c r="H206" s="36">
        <f t="shared" si="7"/>
        <v>0.9347801099325489</v>
      </c>
      <c r="I206" s="51" t="s">
        <v>159</v>
      </c>
      <c r="J206" s="35"/>
      <c r="K206" s="38"/>
    </row>
    <row r="207" spans="1:11" ht="16.2" customHeight="1" x14ac:dyDescent="0.4">
      <c r="G207" s="11"/>
      <c r="H207" s="11"/>
      <c r="I207" s="12"/>
    </row>
    <row r="208" spans="1:11" ht="17.399999999999999" customHeight="1" thickBot="1" x14ac:dyDescent="0.45"/>
    <row r="209" spans="1:11" s="1" customFormat="1" x14ac:dyDescent="0.4">
      <c r="A209" s="23" t="s">
        <v>88</v>
      </c>
      <c r="B209" s="24" t="s">
        <v>1</v>
      </c>
      <c r="C209" s="24">
        <v>1</v>
      </c>
      <c r="D209" s="24">
        <v>0.9</v>
      </c>
      <c r="E209" s="25"/>
      <c r="F209" s="24">
        <f>SUM($D$128:D209)</f>
        <v>30.659999999999989</v>
      </c>
      <c r="G209" s="26">
        <f t="shared" si="7"/>
        <v>0.59034234892787518</v>
      </c>
      <c r="H209" s="26">
        <f t="shared" si="7"/>
        <v>0.94046192811436702</v>
      </c>
      <c r="I209" s="27"/>
      <c r="J209" s="25"/>
      <c r="K209" s="28"/>
    </row>
    <row r="210" spans="1:11" s="1" customFormat="1" x14ac:dyDescent="0.4">
      <c r="A210" s="30" t="s">
        <v>169</v>
      </c>
      <c r="B210"/>
      <c r="C210"/>
      <c r="D210">
        <v>0.48</v>
      </c>
      <c r="F210">
        <f>SUM($D$128:D210)</f>
        <v>31.13999999999999</v>
      </c>
      <c r="G210" s="11">
        <f t="shared" ref="G210:H233" si="8">G$128+($F210/G$126/24)</f>
        <v>0.59165813840155934</v>
      </c>
      <c r="H210" s="11">
        <f t="shared" si="8"/>
        <v>0.94349223114467007</v>
      </c>
      <c r="I210" s="12"/>
      <c r="J210" s="1">
        <f>F210</f>
        <v>31.13999999999999</v>
      </c>
      <c r="K210" s="29">
        <f>J210</f>
        <v>31.13999999999999</v>
      </c>
    </row>
    <row r="211" spans="1:11" s="1" customFormat="1" x14ac:dyDescent="0.4">
      <c r="A211" s="30" t="s">
        <v>170</v>
      </c>
      <c r="B211"/>
      <c r="C211"/>
      <c r="D211">
        <v>0.1</v>
      </c>
      <c r="F211">
        <f>SUM($D$128:D211)</f>
        <v>31.239999999999991</v>
      </c>
      <c r="G211" s="11">
        <f t="shared" si="7"/>
        <v>0.59193226120857689</v>
      </c>
      <c r="H211" s="11">
        <f t="shared" si="7"/>
        <v>0.94412354427598322</v>
      </c>
      <c r="I211" s="12"/>
      <c r="K211" s="29"/>
    </row>
    <row r="212" spans="1:11" s="1" customFormat="1" x14ac:dyDescent="0.4">
      <c r="A212" s="30" t="s">
        <v>68</v>
      </c>
      <c r="B212"/>
      <c r="C212"/>
      <c r="D212">
        <v>0.32</v>
      </c>
      <c r="F212">
        <f>SUM($D$128:D212)</f>
        <v>31.559999999999992</v>
      </c>
      <c r="G212" s="11">
        <f t="shared" si="8"/>
        <v>0.59280945419103304</v>
      </c>
      <c r="H212" s="11">
        <f t="shared" si="8"/>
        <v>0.94614374629618525</v>
      </c>
      <c r="I212" s="12"/>
      <c r="K212" s="29"/>
    </row>
    <row r="213" spans="1:11" s="1" customFormat="1" x14ac:dyDescent="0.4">
      <c r="A213" s="58" t="s">
        <v>160</v>
      </c>
      <c r="C213" t="s">
        <v>100</v>
      </c>
      <c r="D213"/>
      <c r="F213"/>
      <c r="G213" s="11"/>
      <c r="H213" s="11"/>
      <c r="I213" s="2" t="s">
        <v>143</v>
      </c>
      <c r="K213" s="29"/>
    </row>
    <row r="214" spans="1:11" s="1" customFormat="1" x14ac:dyDescent="0.4">
      <c r="A214" s="30" t="s">
        <v>69</v>
      </c>
      <c r="B214"/>
      <c r="C214"/>
      <c r="D214">
        <v>0.34</v>
      </c>
      <c r="F214">
        <f>SUM($D$128:D214)</f>
        <v>31.899999999999991</v>
      </c>
      <c r="G214" s="11">
        <f t="shared" si="8"/>
        <v>0.59374147173489278</v>
      </c>
      <c r="H214" s="11">
        <f t="shared" si="8"/>
        <v>0.94829021094264987</v>
      </c>
      <c r="I214" s="39">
        <v>0.95833333333333337</v>
      </c>
      <c r="J214" s="67" t="s">
        <v>178</v>
      </c>
      <c r="K214" s="29"/>
    </row>
    <row r="215" spans="1:11" s="1" customFormat="1" x14ac:dyDescent="0.4">
      <c r="A215" s="30" t="s">
        <v>70</v>
      </c>
      <c r="B215"/>
      <c r="C215"/>
      <c r="D215">
        <v>1.05</v>
      </c>
      <c r="F215">
        <f>SUM($D$128:D215)</f>
        <v>32.949999999999989</v>
      </c>
      <c r="G215" s="11">
        <f t="shared" si="8"/>
        <v>0.59661976120857696</v>
      </c>
      <c r="H215" s="11">
        <f t="shared" si="8"/>
        <v>0.95491899882143771</v>
      </c>
      <c r="I215" s="12"/>
      <c r="J215" s="1">
        <f>F215</f>
        <v>32.949999999999989</v>
      </c>
      <c r="K215" s="29">
        <f>J215-J210</f>
        <v>1.8099999999999987</v>
      </c>
    </row>
    <row r="216" spans="1:11" s="1" customFormat="1" x14ac:dyDescent="0.4">
      <c r="A216" s="58" t="s">
        <v>161</v>
      </c>
      <c r="C216" t="s">
        <v>101</v>
      </c>
      <c r="D216"/>
      <c r="F216"/>
      <c r="G216" s="11"/>
      <c r="H216" s="11"/>
      <c r="I216" s="2" t="s">
        <v>163</v>
      </c>
      <c r="K216" s="29"/>
    </row>
    <row r="217" spans="1:11" s="1" customFormat="1" x14ac:dyDescent="0.4">
      <c r="A217" s="30" t="s">
        <v>71</v>
      </c>
      <c r="B217"/>
      <c r="C217"/>
      <c r="D217">
        <v>1</v>
      </c>
      <c r="F217">
        <f>SUM($D$128:D217)</f>
        <v>33.949999999999989</v>
      </c>
      <c r="G217" s="11">
        <f t="shared" si="8"/>
        <v>0.59936098927875237</v>
      </c>
      <c r="H217" s="11">
        <f t="shared" si="8"/>
        <v>0.9612321301345691</v>
      </c>
      <c r="I217" s="12"/>
      <c r="K217" s="29"/>
    </row>
    <row r="218" spans="1:11" s="1" customFormat="1" x14ac:dyDescent="0.4">
      <c r="A218" s="30" t="s">
        <v>42</v>
      </c>
      <c r="B218"/>
      <c r="C218"/>
      <c r="D218">
        <v>0.15</v>
      </c>
      <c r="F218">
        <f>SUM($D$128:D218)</f>
        <v>34.099999999999987</v>
      </c>
      <c r="G218" s="11">
        <f t="shared" si="8"/>
        <v>0.59977217348927869</v>
      </c>
      <c r="H218" s="11">
        <f t="shared" si="8"/>
        <v>0.96217909983153871</v>
      </c>
      <c r="I218" s="12"/>
      <c r="K218" s="29"/>
    </row>
    <row r="219" spans="1:11" s="1" customFormat="1" x14ac:dyDescent="0.4">
      <c r="A219" s="30" t="s">
        <v>22</v>
      </c>
      <c r="B219"/>
      <c r="C219"/>
      <c r="D219">
        <v>0.93</v>
      </c>
      <c r="F219">
        <f>SUM($D$128:D219)</f>
        <v>35.029999999999987</v>
      </c>
      <c r="G219" s="11">
        <f t="shared" si="8"/>
        <v>0.60232151559454183</v>
      </c>
      <c r="H219" s="11">
        <f t="shared" si="8"/>
        <v>0.96805031195275082</v>
      </c>
      <c r="I219" s="12"/>
      <c r="J219" s="1">
        <f>F219</f>
        <v>35.029999999999987</v>
      </c>
      <c r="K219" s="29">
        <f>J219-J215</f>
        <v>2.0799999999999983</v>
      </c>
    </row>
    <row r="220" spans="1:11" s="1" customFormat="1" x14ac:dyDescent="0.4">
      <c r="A220" s="68" t="s">
        <v>43</v>
      </c>
      <c r="B220" t="s">
        <v>6</v>
      </c>
      <c r="C220">
        <v>2</v>
      </c>
      <c r="D220">
        <v>0.21</v>
      </c>
      <c r="F220">
        <f>SUM($D$128:D220)</f>
        <v>35.239999999999988</v>
      </c>
      <c r="G220" s="11">
        <f t="shared" si="8"/>
        <v>0.60289717348927863</v>
      </c>
      <c r="H220" s="11">
        <f t="shared" si="8"/>
        <v>0.96937606952850841</v>
      </c>
      <c r="I220" s="12"/>
      <c r="K220" s="29"/>
    </row>
    <row r="221" spans="1:11" s="1" customFormat="1" x14ac:dyDescent="0.4">
      <c r="A221" s="58" t="s">
        <v>164</v>
      </c>
      <c r="C221" t="s">
        <v>102</v>
      </c>
      <c r="D221"/>
      <c r="F221"/>
      <c r="G221" s="11"/>
      <c r="H221" s="11"/>
      <c r="I221" s="2" t="s">
        <v>162</v>
      </c>
      <c r="K221" s="29"/>
    </row>
    <row r="222" spans="1:11" s="1" customFormat="1" x14ac:dyDescent="0.4">
      <c r="A222" s="30" t="s">
        <v>42</v>
      </c>
      <c r="B222"/>
      <c r="C222"/>
      <c r="D222">
        <v>1.1399999999999999</v>
      </c>
      <c r="F222">
        <f>SUM($D$128:D222)</f>
        <v>36.379999999999988</v>
      </c>
      <c r="G222" s="11">
        <f t="shared" si="8"/>
        <v>0.60602217348927867</v>
      </c>
      <c r="H222" s="11">
        <f t="shared" si="8"/>
        <v>0.97657303922547811</v>
      </c>
      <c r="I222" s="12"/>
      <c r="K222" s="29"/>
    </row>
    <row r="223" spans="1:11" s="1" customFormat="1" x14ac:dyDescent="0.4">
      <c r="A223" s="30" t="s">
        <v>71</v>
      </c>
      <c r="B223"/>
      <c r="C223"/>
      <c r="D223">
        <v>0.15</v>
      </c>
      <c r="F223">
        <f>SUM($D$128:D223)</f>
        <v>36.529999999999987</v>
      </c>
      <c r="G223" s="11">
        <f t="shared" si="8"/>
        <v>0.606433357699805</v>
      </c>
      <c r="H223" s="11">
        <f t="shared" si="8"/>
        <v>0.97752000892244784</v>
      </c>
      <c r="I223" s="12"/>
      <c r="K223" s="29"/>
    </row>
    <row r="224" spans="1:11" s="1" customFormat="1" x14ac:dyDescent="0.4">
      <c r="A224" s="30" t="s">
        <v>44</v>
      </c>
      <c r="B224" t="s">
        <v>7</v>
      </c>
      <c r="C224">
        <v>3</v>
      </c>
      <c r="D224" s="2">
        <v>0.18</v>
      </c>
      <c r="F224">
        <f>SUM($D$128:D224)</f>
        <v>36.709999999999987</v>
      </c>
      <c r="G224" s="11">
        <f t="shared" si="8"/>
        <v>0.60692677875243661</v>
      </c>
      <c r="H224" s="11">
        <f t="shared" si="8"/>
        <v>0.97865637255881144</v>
      </c>
      <c r="I224" s="12"/>
      <c r="K224" s="29"/>
    </row>
    <row r="225" spans="1:11" s="1" customFormat="1" x14ac:dyDescent="0.4">
      <c r="A225" s="30" t="s">
        <v>45</v>
      </c>
      <c r="B225"/>
      <c r="C225"/>
      <c r="D225">
        <v>0.36</v>
      </c>
      <c r="F225">
        <f>SUM($D$128:D225)</f>
        <v>37.069999999999986</v>
      </c>
      <c r="G225" s="11">
        <f t="shared" si="8"/>
        <v>0.60791362085769973</v>
      </c>
      <c r="H225" s="11">
        <f t="shared" si="8"/>
        <v>0.98092909983153875</v>
      </c>
      <c r="I225" s="12"/>
      <c r="K225" s="29"/>
    </row>
    <row r="226" spans="1:11" s="1" customFormat="1" x14ac:dyDescent="0.4">
      <c r="A226" s="30" t="s">
        <v>24</v>
      </c>
      <c r="B226"/>
      <c r="C226"/>
      <c r="D226">
        <v>0.38</v>
      </c>
      <c r="F226">
        <f>SUM($D$128:D226)</f>
        <v>37.449999999999989</v>
      </c>
      <c r="G226" s="11">
        <f t="shared" si="8"/>
        <v>0.60895528752436645</v>
      </c>
      <c r="H226" s="11">
        <f t="shared" si="8"/>
        <v>0.98332808973052865</v>
      </c>
      <c r="I226" s="12"/>
      <c r="J226" s="1">
        <f>F226</f>
        <v>37.449999999999989</v>
      </c>
      <c r="K226" s="29">
        <f>J226-J219</f>
        <v>2.4200000000000017</v>
      </c>
    </row>
    <row r="227" spans="1:11" s="1" customFormat="1" x14ac:dyDescent="0.4">
      <c r="A227" s="58" t="s">
        <v>165</v>
      </c>
      <c r="C227" t="s">
        <v>103</v>
      </c>
      <c r="D227"/>
      <c r="F227"/>
      <c r="G227" s="11"/>
      <c r="H227" s="11"/>
      <c r="I227" s="2" t="s">
        <v>166</v>
      </c>
      <c r="K227" s="29"/>
    </row>
    <row r="228" spans="1:11" s="1" customFormat="1" x14ac:dyDescent="0.4">
      <c r="A228" s="30" t="s">
        <v>46</v>
      </c>
      <c r="B228"/>
      <c r="C228"/>
      <c r="D228">
        <v>0.47</v>
      </c>
      <c r="F228">
        <f>SUM($D$128:D228)</f>
        <v>37.919999999999987</v>
      </c>
      <c r="G228" s="11">
        <f t="shared" si="8"/>
        <v>0.61024366471734881</v>
      </c>
      <c r="H228" s="11">
        <f t="shared" si="8"/>
        <v>0.98629526144770041</v>
      </c>
      <c r="I228" s="12"/>
      <c r="K228" s="29"/>
    </row>
    <row r="229" spans="1:11" s="1" customFormat="1" x14ac:dyDescent="0.4">
      <c r="A229" s="30" t="s">
        <v>72</v>
      </c>
      <c r="B229"/>
      <c r="C229"/>
      <c r="D229">
        <v>0.9</v>
      </c>
      <c r="F229">
        <f>SUM($D$128:D229)</f>
        <v>38.819999999999986</v>
      </c>
      <c r="G229" s="11">
        <f t="shared" si="8"/>
        <v>0.61271076998050678</v>
      </c>
      <c r="H229" s="11">
        <f t="shared" si="8"/>
        <v>0.99197707962951853</v>
      </c>
      <c r="I229" s="12"/>
      <c r="K229" s="29"/>
    </row>
    <row r="230" spans="1:11" s="1" customFormat="1" x14ac:dyDescent="0.4">
      <c r="A230" s="30" t="s">
        <v>25</v>
      </c>
      <c r="B230"/>
      <c r="C230"/>
      <c r="D230">
        <v>0.27</v>
      </c>
      <c r="F230">
        <f>SUM($D$128:D230)</f>
        <v>39.089999999999989</v>
      </c>
      <c r="G230" s="11">
        <f t="shared" si="8"/>
        <v>0.61345090155945414</v>
      </c>
      <c r="H230" s="11">
        <f t="shared" si="8"/>
        <v>0.99368162508406399</v>
      </c>
      <c r="I230" s="12"/>
      <c r="J230" s="1">
        <f>F230</f>
        <v>39.089999999999989</v>
      </c>
      <c r="K230" s="29">
        <f>J230-J226</f>
        <v>1.6400000000000006</v>
      </c>
    </row>
    <row r="231" spans="1:11" x14ac:dyDescent="0.4">
      <c r="A231" s="30" t="s">
        <v>47</v>
      </c>
      <c r="D231">
        <v>0.21</v>
      </c>
      <c r="F231">
        <f>SUM($D$128:D231)</f>
        <v>39.29999999999999</v>
      </c>
      <c r="G231" s="11">
        <f t="shared" si="8"/>
        <v>0.61402655945419093</v>
      </c>
      <c r="H231" s="11">
        <f t="shared" si="8"/>
        <v>0.99500738265982158</v>
      </c>
      <c r="I231" s="12"/>
      <c r="K231" s="29"/>
    </row>
    <row r="232" spans="1:11" x14ac:dyDescent="0.4">
      <c r="A232" s="30" t="s">
        <v>69</v>
      </c>
      <c r="D232">
        <v>0.04</v>
      </c>
      <c r="F232">
        <f>SUM($D$128:D232)</f>
        <v>39.339999999999989</v>
      </c>
      <c r="G232" s="11">
        <f t="shared" si="8"/>
        <v>0.61413620857699791</v>
      </c>
      <c r="H232" s="11">
        <f t="shared" si="8"/>
        <v>0.99525990791234686</v>
      </c>
      <c r="I232" s="12"/>
      <c r="K232" s="29"/>
    </row>
    <row r="233" spans="1:11" ht="18" thickBot="1" x14ac:dyDescent="0.45">
      <c r="A233" s="53" t="s">
        <v>68</v>
      </c>
      <c r="B233" s="34"/>
      <c r="C233" s="34"/>
      <c r="D233" s="34">
        <v>0.34</v>
      </c>
      <c r="E233" s="41">
        <f>SUM(D208:D233)</f>
        <v>9.92</v>
      </c>
      <c r="F233" s="34">
        <f>SUM($D$128:D233)</f>
        <v>39.679999999999993</v>
      </c>
      <c r="G233" s="36">
        <f t="shared" si="8"/>
        <v>0.61506822612085765</v>
      </c>
      <c r="H233" s="36">
        <f t="shared" si="8"/>
        <v>0.99740637255881159</v>
      </c>
      <c r="I233" s="51" t="s">
        <v>167</v>
      </c>
      <c r="J233" s="35"/>
      <c r="K233" s="38"/>
    </row>
    <row r="234" spans="1:11" ht="16.2" customHeight="1" thickBot="1" x14ac:dyDescent="0.45">
      <c r="G234" s="11"/>
      <c r="H234" s="11"/>
      <c r="I234" s="12"/>
    </row>
    <row r="235" spans="1:11" s="1" customFormat="1" x14ac:dyDescent="0.4">
      <c r="A235" s="23" t="s">
        <v>67</v>
      </c>
      <c r="B235" s="24" t="s">
        <v>1</v>
      </c>
      <c r="C235" s="24">
        <v>13</v>
      </c>
      <c r="D235" s="24">
        <v>0.9</v>
      </c>
      <c r="E235" s="25"/>
      <c r="F235" s="24">
        <f>SUM($D$128:D235)</f>
        <v>40.579999999999991</v>
      </c>
      <c r="G235" s="26">
        <f t="shared" ref="G235:H241" si="9">G$128+($F235/G$126/24)</f>
        <v>0.61753533138401551</v>
      </c>
      <c r="H235" s="26">
        <f t="shared" si="9"/>
        <v>1.0030881907406297</v>
      </c>
      <c r="I235" s="27"/>
      <c r="J235" s="25"/>
      <c r="K235" s="28"/>
    </row>
    <row r="236" spans="1:11" s="1" customFormat="1" x14ac:dyDescent="0.4">
      <c r="A236" s="30" t="s">
        <v>169</v>
      </c>
      <c r="B236"/>
      <c r="C236"/>
      <c r="D236">
        <v>0.48</v>
      </c>
      <c r="F236">
        <f>SUM($D$128:D236)</f>
        <v>41.059999999999988</v>
      </c>
      <c r="G236" s="11">
        <f t="shared" si="9"/>
        <v>0.61885112085769967</v>
      </c>
      <c r="H236" s="11">
        <f t="shared" si="9"/>
        <v>1.0061184937709327</v>
      </c>
      <c r="I236" s="12"/>
      <c r="J236" s="1">
        <f>F236</f>
        <v>41.059999999999988</v>
      </c>
      <c r="K236" s="29">
        <f>J236-J230</f>
        <v>1.9699999999999989</v>
      </c>
    </row>
    <row r="237" spans="1:11" s="1" customFormat="1" x14ac:dyDescent="0.4">
      <c r="A237" s="30" t="s">
        <v>170</v>
      </c>
      <c r="B237"/>
      <c r="C237"/>
      <c r="D237">
        <v>0.1</v>
      </c>
      <c r="F237">
        <f>SUM($D$128:D237)</f>
        <v>41.159999999999989</v>
      </c>
      <c r="G237" s="11">
        <f t="shared" si="9"/>
        <v>0.61912524366471722</v>
      </c>
      <c r="H237" s="11">
        <f t="shared" si="9"/>
        <v>1.0067498069022458</v>
      </c>
      <c r="I237" s="12"/>
      <c r="K237" s="29"/>
    </row>
    <row r="238" spans="1:11" s="1" customFormat="1" x14ac:dyDescent="0.4">
      <c r="A238" s="30" t="s">
        <v>68</v>
      </c>
      <c r="B238"/>
      <c r="C238"/>
      <c r="D238">
        <v>0.32</v>
      </c>
      <c r="F238">
        <f>SUM($D$128:D238)</f>
        <v>41.47999999999999</v>
      </c>
      <c r="G238" s="11">
        <f t="shared" si="9"/>
        <v>0.62000243664717347</v>
      </c>
      <c r="H238" s="11">
        <f t="shared" si="9"/>
        <v>1.0087700089224478</v>
      </c>
      <c r="I238" s="12"/>
      <c r="K238" s="29"/>
    </row>
    <row r="239" spans="1:11" s="1" customFormat="1" x14ac:dyDescent="0.4">
      <c r="A239" s="58" t="s">
        <v>160</v>
      </c>
      <c r="C239" t="s">
        <v>100</v>
      </c>
      <c r="D239"/>
      <c r="F239"/>
      <c r="G239" s="11"/>
      <c r="H239" s="11"/>
      <c r="I239" s="2" t="s">
        <v>179</v>
      </c>
      <c r="K239" s="29"/>
    </row>
    <row r="240" spans="1:11" s="1" customFormat="1" x14ac:dyDescent="0.4">
      <c r="A240" s="30" t="s">
        <v>69</v>
      </c>
      <c r="B240"/>
      <c r="C240"/>
      <c r="D240">
        <v>0.34</v>
      </c>
      <c r="F240">
        <f>SUM($D$128:D240)</f>
        <v>41.819999999999993</v>
      </c>
      <c r="G240" s="11">
        <f t="shared" si="9"/>
        <v>0.6209344541910331</v>
      </c>
      <c r="H240" s="11">
        <f t="shared" si="9"/>
        <v>1.0109164735689125</v>
      </c>
      <c r="I240" s="12"/>
      <c r="K240" s="29"/>
    </row>
    <row r="241" spans="1:11" ht="18" thickBot="1" x14ac:dyDescent="0.45">
      <c r="A241" s="53" t="s">
        <v>26</v>
      </c>
      <c r="B241" s="34"/>
      <c r="C241" s="34"/>
      <c r="D241" s="34">
        <v>0.2</v>
      </c>
      <c r="E241" s="41">
        <f>SUM(D235:D241)</f>
        <v>2.3400000000000003</v>
      </c>
      <c r="F241" s="51">
        <f>SUM($D$128:D241)</f>
        <v>42.019999999999996</v>
      </c>
      <c r="G241" s="36">
        <f t="shared" si="9"/>
        <v>0.62148269980506821</v>
      </c>
      <c r="H241" s="36">
        <f t="shared" si="9"/>
        <v>1.0121790998315388</v>
      </c>
      <c r="I241" s="37"/>
      <c r="J241" s="35">
        <f>F241</f>
        <v>42.019999999999996</v>
      </c>
      <c r="K241" s="38">
        <f>J241-J236</f>
        <v>0.96000000000000796</v>
      </c>
    </row>
  </sheetData>
  <phoneticPr fontId="1" type="noConversion"/>
  <printOptions gridLines="1"/>
  <pageMargins left="0.51181102362204722" right="0.51181102362204722" top="0.74803149606299213" bottom="0.74803149606299213" header="0.31496062992125984" footer="0.31496062992125984"/>
  <pageSetup paperSize="9" scale="8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KOREAN</vt:lpstr>
      <vt:lpstr>KOREAN!Print_Area</vt:lpstr>
      <vt:lpstr>KOREAN!Print_Titles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Eddie Kim</cp:lastModifiedBy>
  <cp:lastPrinted>2026-08-25T06:03:57Z</cp:lastPrinted>
  <dcterms:created xsi:type="dcterms:W3CDTF">2020-09-21T03:39:31Z</dcterms:created>
  <dcterms:modified xsi:type="dcterms:W3CDTF">2026-09-10T12:09:42Z</dcterms:modified>
</cp:coreProperties>
</file>